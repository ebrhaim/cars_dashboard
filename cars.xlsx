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2.xml" ContentType="application/vnd.openxmlformats-officedocument.themeOverrid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3.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4.xml" ContentType="application/vnd.openxmlformats-officedocument.themeOverrid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G:\EBRAHIM\database\MYSQL\cars_datasets_2025\github\"/>
    </mc:Choice>
  </mc:AlternateContent>
  <xr:revisionPtr revIDLastSave="0" documentId="13_ncr:1_{12CEA8CB-AAFE-41DD-9C85-9FE18B32E5E2}" xr6:coauthVersionLast="47" xr6:coauthVersionMax="47" xr10:uidLastSave="{00000000-0000-0000-0000-000000000000}"/>
  <bookViews>
    <workbookView xWindow="-120" yWindow="-120" windowWidth="20730" windowHeight="11310" activeTab="1" xr2:uid="{75906039-202D-425E-946F-88785C478714}"/>
  </bookViews>
  <sheets>
    <sheet name="piv.tables" sheetId="1" r:id="rId1"/>
    <sheet name="dashboard" sheetId="2" r:id="rId2"/>
    <sheet name="segments dashboard" sheetId="3" r:id="rId3"/>
  </sheets>
  <definedNames>
    <definedName name="_xlnm.Print_Area" localSheetId="1">dashboard!$C$1:$XFD$32</definedName>
    <definedName name="Slicer_CarCategory">#N/A</definedName>
    <definedName name="Slicer_company_names">#N/A</definedName>
    <definedName name="Slicer_PriceSegment">#N/A</definedName>
    <definedName name="Slicer_SeatCategory">#N/A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s>
  <extLst>
    <ext xmlns:x14="http://schemas.microsoft.com/office/spreadsheetml/2009/9/main" uri="{876F7934-8845-4945-9796-88D515C7AA90}">
      <x14:pivotCaches>
        <pivotCache cacheId="15" r:id="rId19"/>
      </x14:pivotCaches>
    </ext>
    <ext xmlns:x14="http://schemas.microsoft.com/office/spreadsheetml/2009/9/main" uri="{BBE1A952-AA13-448e-AADC-164F8A28A991}">
      <x14:slicerCaches>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rs_metrics_summary_d0a2eec1-d857-4588-94d6-e4f427174e83" name="cars_metrics_summary" connection="Query - cars_metrics_summary"/>
          <x15:modelTable id="fuel_usage_by_company_55827558-711b-4abd-875e-77a2bf607398" name="fuel_usage_by_company" connection="Query - fuel_usage_by_company"/>
          <x15:modelTable id="cars_datasets_2025_695cb29f-8c6f-43ff-8306-309e287bd87d" name="cars_datasets_2025" connection="Query - cars_datasets_2025"/>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0" i="2" l="1"/>
  <c r="U10" i="2"/>
  <c r="V10" i="2"/>
  <c r="T11" i="2"/>
  <c r="U11" i="2"/>
  <c r="V11" i="2"/>
  <c r="T12" i="2"/>
  <c r="U12" i="2"/>
  <c r="V12" i="2"/>
  <c r="T13" i="2"/>
  <c r="U13" i="2"/>
  <c r="V13" i="2"/>
  <c r="T14" i="2"/>
  <c r="U14" i="2"/>
  <c r="V14" i="2"/>
  <c r="T15" i="2"/>
  <c r="U15" i="2"/>
  <c r="V15" i="2"/>
  <c r="T16" i="2"/>
  <c r="U16" i="2"/>
  <c r="V16" i="2"/>
  <c r="T17" i="2"/>
  <c r="U17" i="2"/>
  <c r="V17" i="2"/>
  <c r="T18" i="2"/>
  <c r="U18" i="2"/>
  <c r="V18" i="2"/>
  <c r="T19" i="2"/>
  <c r="U19" i="2"/>
  <c r="V19" i="2"/>
  <c r="R11" i="2"/>
  <c r="R12" i="2"/>
  <c r="R13" i="2"/>
  <c r="R14" i="2"/>
  <c r="R15" i="2"/>
  <c r="R16" i="2"/>
  <c r="R17" i="2"/>
  <c r="R18" i="2"/>
  <c r="R19" i="2"/>
  <c r="R10" i="2"/>
  <c r="Q11" i="2"/>
  <c r="Q12" i="2"/>
  <c r="Q13" i="2"/>
  <c r="Q14" i="2"/>
  <c r="Q15" i="2"/>
  <c r="Q16" i="2"/>
  <c r="Q17" i="2"/>
  <c r="Q18" i="2"/>
  <c r="Q19" i="2"/>
  <c r="Q10" i="2"/>
  <c r="P11" i="2"/>
  <c r="P12" i="2"/>
  <c r="P13" i="2"/>
  <c r="P14" i="2"/>
  <c r="P15" i="2"/>
  <c r="P16" i="2"/>
  <c r="P17" i="2"/>
  <c r="P18" i="2"/>
  <c r="P19" i="2"/>
  <c r="P10"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3F954C-06B7-49FF-95DA-75AA2DF7AE1D}" name="Query - cars_datasets_2025" description="Connection to the 'cars_datasets_2025' query in the workbook." type="100" refreshedVersion="8" minRefreshableVersion="5">
    <extLst>
      <ext xmlns:x15="http://schemas.microsoft.com/office/spreadsheetml/2010/11/main" uri="{DE250136-89BD-433C-8126-D09CA5730AF9}">
        <x15:connection id="efbcdd65-4d2c-4e1c-8ef9-1ac7f16f3493"/>
      </ext>
    </extLst>
  </connection>
  <connection id="2" xr16:uid="{A296769A-B2C5-4152-9EE5-7A67D3076C1D}" name="Query - cars_metrics_summary" description="Connection to the 'cars_metrics_summary' query in the workbook." type="100" refreshedVersion="8" minRefreshableVersion="5">
    <extLst>
      <ext xmlns:x15="http://schemas.microsoft.com/office/spreadsheetml/2010/11/main" uri="{DE250136-89BD-433C-8126-D09CA5730AF9}">
        <x15:connection id="cd35b4e9-b4db-45dc-bf66-c1929fa5dcf2"/>
      </ext>
    </extLst>
  </connection>
  <connection id="3" xr16:uid="{75D5EAFD-4AA2-48A1-9388-6905AC1AB580}" name="Query - fuel_usage_by_company" description="Connection to the 'fuel_usage_by_company' query in the workbook." type="100" refreshedVersion="8" minRefreshableVersion="5">
    <extLst>
      <ext xmlns:x15="http://schemas.microsoft.com/office/spreadsheetml/2010/11/main" uri="{DE250136-89BD-433C-8126-D09CA5730AF9}">
        <x15:connection id="aeb1eec1-b696-4a77-b071-43ec571bfa03"/>
      </ext>
    </extLst>
  </connection>
  <connection id="4" xr16:uid="{2C3B2990-C7B0-4DF1-B31E-69FE616E7B7E}"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cars_datasets_2025].[cars_prices].&amp;[1.E4],[cars_datasets_2025].[cars_prices].&amp;[1.E5],[cars_datasets_2025].[cars_prices].&amp;[1.E6],[cars_datasets_2025].[cars_prices].&amp;[2.E4],[cars_datasets_2025].[cars_prices].&amp;[2.E5],[cars_datasets_2025].[cars_prices].&amp;[3.E4],[cars_datasets_2025].[cars_prices].&amp;[3.E6],[cars_datasets_2025].[cars_prices].&amp;[4.E3],[cars_datasets_2025].[cars_prices].&amp;[4.E4],[cars_datasets_2025].[cars_prices].&amp;[5.E3],[cars_datasets_2025].[cars_prices].&amp;[5.E4],[cars_datasets_2025].[cars_prices].&amp;[5.E5],[cars_datasets_2025].[cars_prices].&amp;[5.E6],[cars_datasets_2025].[cars_prices].&amp;[6.E4],[cars_datasets_2025].[cars_prices].&amp;[6.E5],[cars_datasets_2025].[cars_prices].&amp;[6.E6],[cars_datasets_2025].[cars_prices].&amp;[7.E3],[cars_datasets_2025].[cars_prices].&amp;[7.E4],[cars_datasets_2025].[cars_prices].&amp;[8.E4],[cars_datasets_2025].[cars_prices].&amp;[9.E3],[cars_datasets_2025].[cars_prices].&amp;[9.E4],[cars_datasets_2025].[cars_prices].&amp;[9.E6],[cars_datasets_2025].[cars_prices].&amp;[1.1E4],[cars_datasets_2025].[cars_prices].&amp;[1.1E5],[cars_datasets_2025].[cars_prices].&amp;[1.1E6],[cars_datasets_2025].[cars_prices].&amp;[1.2E4],[cars_datasets_2025].[cars_prices].&amp;[1.2E5],[cars_datasets_2025].[cars_prices].&amp;[1.3E4],[cars_datasets_2025].[cars_prices].&amp;[1.3E5],[cars_datasets_2025].[cars_prices].&amp;[1.3E6],[cars_datasets_2025].[cars_prices].&amp;[1.4E4],[cars_datasets_2025].[cars_prices].&amp;[1.5E4],[cars_datasets_2025].[cars_prices].&amp;[1.5E5],[cars_datasets_2025].[cars_prices].&amp;[1.6E4],[cars_datasets_2025].[cars_prices].&amp;[1.6E5],[cars_datasets_2025].[cars_prices].&amp;[1.7E4],[cars_datasets_2025].[cars_prices].&amp;[1.7E5],[cars_datasets_2025].[cars_prices].&amp;[1.7E6],[cars_datasets_2025].[cars_prices].&amp;[1.8E4],[cars_datasets_2025].[cars_prices].&amp;[1.8E5],[cars_datasets_2025].[cars_prices].&amp;[1.8E7],[cars_datasets_2025].[cars_prices].&amp;[1.9E4],[cars_datasets_2025].[cars_prices].&amp;[1.9E5],[cars_datasets_2025].[cars_prices].&amp;[2.1E4],[cars_datasets_2025].[cars_prices].&amp;[2.1E5],[cars_datasets_2025].[cars_prices].&amp;[2.2E4],[cars_datasets_2025].[cars_prices].&amp;[2.2E5],[cars_datasets_2025].[cars_prices].&amp;[2.3E4],[cars_datasets_2025].[cars_prices].&amp;[2.3E5],[cars_datasets_2025].[cars_prices].&amp;[2.4E4],[cars_datasets_2025].[cars_prices].&amp;[2.4E5],[cars_datasets_2025].[cars_prices].&amp;[2.5E4],[cars_datasets_2025].[cars_prices].&amp;[2.6E4],[cars_datasets_2025].[cars_prices].&amp;[2.7E4],[cars_datasets_2025].[cars_prices].&amp;[2.8E4],[cars_datasets_2025].[cars_prices].&amp;[2.8E5],[cars_datasets_2025].[cars_prices].&amp;[2.8E6],[cars_datasets_2025].[cars_prices].&amp;[2.9E4],[cars_datasets_2025].[cars_prices].&amp;[2.9E5],[cars_datasets_2025].[cars_prices].&amp;[3.1E4],[cars_datasets_2025].[cars_prices].&amp;[3.2E4],[cars_datasets_2025].[cars_prices].&amp;[3.2E5],[cars_datasets_2025].[cars_prices].&amp;[3.2E6],[cars_datasets_2025].[cars_prices].&amp;[3.3E4],[cars_datasets_2025].[cars_prices].&amp;[3.3E5],[cars_datasets_2025].[cars_prices].&amp;[3.3E6],[cars_datasets_2025].[cars_prices].&amp;[3.4E4],[cars_datasets_2025].[cars_prices].&amp;[3.4E5],[cars_datasets_2025].[cars_prices].&amp;[3.5E4],[cars_datasets_2025].[cars_prices].&amp;[3.5E5],[cars_datasets_2025].[cars_prices].&amp;[3.5E6],[cars_datasets_2025].[cars_prices].&amp;[3.6E4],[cars_datasets_2025].[cars_prices].&amp;[3.6E5],[cars_datasets_2025].[cars_prices].&amp;[3.7E4],[cars_datasets_2025].[cars_prices].&amp;[3.7E5],[cars_datasets_2025].[cars_prices].&amp;[3.8E4],[cars_datasets_2025].[cars_prices].&amp;[3.8E5],[cars_datasets_2025].[cars_prices].&amp;[3.9E4],[cars_datasets_2025].[cars_prices].&amp;[3.9E5],[cars_datasets_2025].[cars_prices].&amp;[4.1E4],[cars_datasets_2025].[cars_prices].&amp;[4.2E4],[cars_datasets_2025].[cars_prices].&amp;[4.3E4],[cars_datasets_2025].[cars_prices].&amp;[4.4E4],[cars_datasets_2025].[cars_prices].&amp;[4.5E4],[cars_datasets_2025].[cars_prices].&amp;[4.5E5],[cars_datasets_2025].[cars_prices].&amp;[4.5E6],[cars_datasets_2025].[cars_prices].&amp;[4.6E4],[cars_datasets_2025].[cars_prices].&amp;[4.6E5],[cars_datasets_2025].[cars_prices].&amp;[4.7E4],[cars_datasets_2025].[cars_prices].&amp;[4.8E4],[cars_datasets_2025].[cars_prices].&amp;[4.9E4],[cars_datasets_2025].[cars_prices].&amp;[5.1E4],[cars_datasets_2025].[cars_prices].&amp;[5.2E4],[cars_datasets_2025].[cars_prices].&amp;[5.3E4],[cars_datasets_2025].[cars_prices].&amp;[5.4E4],[cars_datasets_2025].[cars_prices].&amp;[5.5E4],[cars_datasets_2025].[cars_prices].&amp;[5.6E4],[cars_datasets_2025].[cars_prices].&amp;[5.7E4],[cars_datasets_2025].[cars_prices].&amp;[5.8E4],[cars_datasets_2025].[cars_prices].&amp;[5.8E6],[cars_datasets_2025].[cars_prices].&amp;[5.9E4],[cars_datasets_2025].[cars_prices].&amp;[6.1E4],[cars_datasets_2025].[cars_prices].&amp;[6.2E3],[cars_datasets_2025].[cars_prices].&amp;[6.2E4],[cars_datasets_2025].[cars_prices].&amp;[6.3E4],[cars_datasets_2025].[cars_prices].&amp;[6.4E4],[cars_datasets_2025].[cars_prices].&amp;[6.5E3],[cars_datasets_2025].[cars_prices].&amp;[6.5E4],[cars_datasets_2025].[cars_prices].&amp;[6.7E4],[cars_datasets_2025].[cars_prices].&amp;[6.8E4],[cars_datasets_2025].[cars_prices].&amp;[6.9E4],[cars_datasets_2025].[cars_prices].&amp;[7.1E4],[cars_datasets_2025].[cars_prices].&amp;[7.2E3],[cars_datasets_2025].[cars_prices].&amp;[7.2E4],[cars_datasets_2025].[cars_prices].&amp;[7.5E4],[cars_datasets_2025].[cars_prices].&amp;[7.5E5],[cars_datasets_2025].[cars_prices].&amp;[7.6E4],[cars_datasets_2025].[cars_prices].&amp;[7.7E4],[cars_datasets_2025].[cars_prices].&amp;[7.8E4],[cars_datasets_2025].[cars_prices].&amp;[7.9E4],[cars_datasets_2025].[cars_prices].&amp;[8.1E4],[cars_datasets_2025].[cars_prices].&amp;[8.2E3],[cars_datasets_2025].[cars_prices].&amp;[8.2E4],[cars_datasets_2025].[cars_prices].&amp;[8.3E3],[cars_datasets_2025].[cars_prices].&amp;[8.3E4],[cars_datasets_2025].[cars_prices].&amp;[8.5E4],[cars_datasets_2025].[cars_prices].&amp;[8.6E4],[cars_datasets_2025].[cars_prices].&amp;[8.7E3],[cars_datasets_2025].[cars_prices].&amp;[8.8E4],[cars_datasets_2025].[cars_prices].&amp;[9.1E4],[cars_datasets_2025].[cars_prices].&amp;[9.2E3],[cars_datasets_2025].[cars_prices].&amp;[9.2E4],[cars_datasets_2025].[cars_prices].&amp;[9.4E3],[cars_datasets_2025].[cars_prices].&amp;[9.5E4],[cars_datasets_2025].[cars_prices].&amp;[9.6E4],[cars_datasets_2025].[cars_prices].&amp;[9.8E4],[cars_datasets_2025].[cars_prices].&amp;[9.9E4],[cars_datasets_2025].[cars_prices].&amp;[1.01E5],[cars_datasets_2025].[cars_prices].&amp;[1.02E5],[cars_datasets_2025].[cars_prices].&amp;[1.04E4],[cars_datasets_2025].[cars_prices].&amp;[1.04E5],[cars_datasets_2025].[cars_prices].&amp;[1.05E4],[cars_datasets_2025].[cars_prices].&amp;[1.05E5],[cars_datasets_2025].[cars_prices].&amp;[1.08E5],[cars_datasets_2025].[cars_prices].&amp;[1.09E5],[cars_datasets_2025].[cars_prices].&amp;[1.13E4],[cars_datasets_2025].[cars_prices].&amp;[1.13E5],[cars_datasets_2025].[cars_prices].&amp;[1.14E4],[cars_datasets_2025].[cars_prices].&amp;[1.14E5],[cars_datasets_2025].[cars_prices].&amp;[1.15E5],[cars_datasets_2025].[cars_prices].&amp;[1.16E5],[cars_datasets_2025].[cars_prices].&amp;[1.18E4],[cars_datasets_2025].[cars_prices].&amp;[1.24E4],[cars_datasets_2025].[cars_prices].&amp;[1.25E5],[cars_datasets_2025].[cars_prices].&amp;[1.33E5],[cars_datasets_2025].[cars_prices].&amp;[1.35E4],[cars_datasets_2025].[cars_prices].&amp;[1.37E5],[cars_datasets_2025].[cars_prices].&amp;[1.42E5],[cars_datasets_2025].[cars_prices].&amp;[1.44E4],[cars_datasets_2025].[cars_prices].&amp;[1.45E4],[cars_datasets_2025].[cars_prices].&amp;[1.46E5],[cars_datasets_2025].[cars_prices].&amp;[1.54E4],[cars_datasets_2025].[cars_prices].&amp;[1.55E4],[cars_datasets_2025].[cars_prices].&amp;[1.57E5],[cars_datasets_2025].[cars_prices].&amp;[1.61E5],[cars_datasets_2025].[cars_prices].&amp;[1.64E4],[cars_datasets_2025].[cars_prices].&amp;[1.65E4],[cars_datasets_2025].[cars_prices].&amp;[1.65E5],[cars_datasets_2025].[cars_prices].&amp;[1.67E4],[cars_datasets_2025].[cars_prices].&amp;[1.75E4],[cars_datasets_2025].[cars_prices].&amp;[1.75E5],[cars_datasets_2025].[cars_prices].&amp;[1.84E4],[cars_datasets_2025].[cars_prices].&amp;[1.85E4],[cars_datasets_2025].[cars_prices].&amp;[1.85E5],[cars_datasets_2025].[cars_prices].&amp;[1.89E5],[cars_datasets_2025].[cars_prices].&amp;[1.94E5],[cars_datasets_2025].[cars_prices].&amp;[2.04E4],[cars_datasets_2025].[cars_prices].&amp;[2.05E4],[cars_datasets_2025].[cars_prices].&amp;[2.07E5],[cars_datasets_2025].[cars_prices].&amp;[2.08E5],[cars_datasets_2025].[cars_prices].&amp;[2.11E5],[cars_datasets_2025].[cars_prices].&amp;[2.15E4],[cars_datasets_2025].[cars_prices].&amp;[2.22E5],[cars_datasets_2025].[cars_prices].&amp;[2.25E4],[cars_datasets_2025].[cars_prices].&amp;[2.31E4],[cars_datasets_2025].[cars_prices].&amp;[2.33E5],[cars_datasets_2025].[cars_prices].&amp;[2.35E4],[cars_datasets_2025].[cars_prices].&amp;[2.41E4],[cars_datasets_2025].[cars_prices].&amp;[2.42E5],[cars_datasets_2025].[cars_prices].&amp;[2.44E4],[cars_datasets_2025].[cars_prices].&amp;[2.45E4],[cars_datasets_2025].[cars_prices].&amp;[2.45E5],[cars_datasets_2025].[cars_prices].&amp;[2.53E5],[cars_datasets_2025].[cars_prices].&amp;[2.55E4],[cars_datasets_2025].[cars_prices].&amp;[2.58E4],[cars_datasets_2025].[cars_prices].&amp;[2.58E5],[cars_datasets_2025].[cars_prices].&amp;[2.61E5],[cars_datasets_2025].[cars_prices].&amp;[2.63E5],[cars_datasets_2025].[cars_prices].&amp;[2.64E4],[cars_datasets_2025].[cars_prices].&amp;[2.65E4],[cars_datasets_2025].[cars_prices].&amp;[2.66E4],[cars_datasets_2025].[cars_prices].&amp;[2.67E4],[cars_datasets_2025].[cars_prices].&amp;[2.71E4],[cars_datasets_2025].[cars_prices].&amp;[2.73E5],[cars_datasets_2025].[cars_prices].&amp;[2.74E5],[cars_datasets_2025].[cars_prices].&amp;[2.75E4],[cars_datasets_2025].[cars_prices].&amp;[2.84E4],[cars_datasets_2025].[cars_prices].&amp;[2.85E4],[cars_datasets_2025].[cars_prices].&amp;[2.87E4],[cars_datasets_2025].[cars_prices].&amp;[2.87E5],[cars_datasets_2025].[cars_prices].&amp;[2.92E4],[cars_datasets_2025].[cars_prices].&amp;[2.94E4],[cars_datasets_2025].[cars_prices].&amp;[2.94E5],[cars_datasets_2025].[cars_prices].&amp;[2.99E4],[cars_datasets_2025].[cars_prices].&amp;[3.05E4],[cars_datasets_2025].[cars_prices].&amp;[3.08E5],[cars_datasets_2025].[cars_prices].&amp;[3.11E4],[cars_datasets_2025].[cars_prices].&amp;[3.11E5],[cars_datasets_2025].[cars_prices].&amp;[3.15E4],[cars_datasets_2025].[cars_prices].&amp;[3.16E5],[cars_datasets_2025].[cars_prices].&amp;[3.17E4],[cars_datasets_2025].[cars_prices].&amp;[3.19E4],[cars_datasets_2025].[cars_prices].&amp;[3.25E4],[cars_datasets_2025].[cars_prices].&amp;[3.25E5],[cars_datasets_2025].[cars_prices].&amp;[3.27E5],[cars_datasets_2025].[cars_prices].&amp;[3.32E5],[cars_datasets_2025].[cars_prices].&amp;[3.34E4],[cars_datasets_2025].[cars_prices].&amp;[3.35E4],[cars_datasets_2025].[cars_prices].&amp;[3.35E5],[cars_datasets_2025].[cars_prices].&amp;[3.39E4],[cars_datasets_2025].[cars_prices].&amp;[3.42E5],[cars_datasets_2025].[cars_prices].&amp;[3.45E4],[cars_datasets_2025].[cars_prices].&amp;[3.49E4],[cars_datasets_2025].[cars_prices].&amp;[3.49E5],[cars_datasets_2025].[cars_prices].&amp;[3.55E4],[cars_datasets_2025].[cars_prices].&amp;[3.55E5],[cars_datasets_2025].[cars_prices].&amp;[3.61E4],[cars_datasets_2025].[cars_prices].&amp;[3.63E4],[cars_datasets_2025].[cars_prices].&amp;[3.65E4],[cars_datasets_2025].[cars_prices].&amp;[3.68E4],[cars_datasets_2025].[cars_prices].&amp;[3.69E4],[cars_datasets_2025].[cars_prices].&amp;[3.69E5],[cars_datasets_2025].[cars_prices].&amp;[3.71E4],[cars_datasets_2025].[cars_prices].&amp;[3.72E4],[cars_datasets_2025].[cars_prices].&amp;[3.74E4],[cars_datasets_2025].[cars_prices].&amp;[3.75E4],[cars_datasets_2025].[cars_prices].&amp;[3.75E5],[cars_datasets_2025].[cars_prices].&amp;[3.77E4],[cars_datasets_2025].[cars_prices].&amp;[3.81E5],[cars_datasets_2025].[cars_prices].&amp;[3.84E4],[cars_datasets_2025].[cars_prices].&amp;[3.86E4],[cars_datasets_2025].[cars_prices].&amp;[3.89E5],[cars_datasets_2025].[cars_prices].&amp;[3.95E4],[cars_datasets_2025].[cars_prices].&amp;[3.98E5],[cars_datasets_2025].[cars_prices].&amp;[3.99E4],[cars_datasets_2025].[cars_prices].&amp;[4.01E5],[cars_datasets_2025].[cars_prices].&amp;[4.04E4],[cars_datasets_2025].[cars_prices].&amp;[4.14E4],[cars_datasets_2025].[cars_prices].&amp;[4.15E4],[cars_datasets_2025].[cars_prices].&amp;[4.18E5],[cars_datasets_2025].[cars_prices].&amp;[4.21E4],[cars_datasets_2025].[cars_prices].&amp;[4.21E5],[cars_datasets_2025].[cars_prices].&amp;[4.25E4],[cars_datasets_2025].[cars_prices].&amp;[4.34E4],[cars_datasets_2025].[cars_prices].&amp;[4.35E4],[cars_datasets_2025].[cars_prices].&amp;[4.37E4],[cars_datasets_2025].[cars_prices].&amp;[4.39E4],[cars_datasets_2025].[cars_prices].&amp;[4.39E5],[cars_datasets_2025].[cars_prices].&amp;[4.45E4],[cars_datasets_2025].[cars_prices].&amp;[4.45E5],[cars_datasets_2025].[cars_prices].&amp;[4.55E4],[cars_datasets_2025].[cars_prices].&amp;[4.65E4],[cars_datasets_2025].[cars_prices].&amp;[4.66E4],[cars_datasets_2025].[cars_prices].&amp;[4.75E4],[cars_datasets_2025].[cars_prices].&amp;[4.75E5],[cars_datasets_2025].[cars_prices].&amp;[4.89E4],[cars_datasets_2025].[cars_prices].&amp;[4.93E5],[cars_datasets_2025].[cars_prices].&amp;[4.94E4],[cars_datasets_2025].[cars_prices].&amp;[4.95E4],[cars_datasets_2025].[cars_prices].&amp;[4.95E5],[cars_datasets_2025].[cars_prices].&amp;[4.99E5],[cars_datasets_2025].[cars_prices].&amp;[5.15E4],[cars_datasets_2025].[cars_prices].&amp;[5.15E5],[cars_datasets_2025].[cars_prices].&amp;[5.18E5],[cars_datasets_2025].[cars_prices].&amp;[5.24E4],[cars_datasets_2025].[cars_prices].&amp;[5.25E4],[cars_datasets_2025].[cars_prices].&amp;[5.38E4],[cars_datasets_2025].[cars_prices].&amp;[5.39E4],[cars_datasets_2025].[cars_prices].&amp;[5.43E4],[cars_datasets_2025].[cars_prices].&amp;[5.45E5],[cars_datasets_2025].[cars_prices].&amp;[5.64E4],[cars_datasets_2025].[cars_prices].&amp;[5.73E5],[cars_datasets_2025].[cars_prices].&amp;[5.74E4],[cars_datasets_2025].[cars_prices].&amp;[5.85E4],[cars_datasets_2025].[cars_prices].&amp;[5.99E4],[cars_datasets_2025].[cars_prices].&amp;[6.03E5],[cars_datasets_2025].[cars_prices].&amp;[6.11E4],[cars_datasets_2025].[cars_prices].&amp;[6.34E4],[cars_datasets_2025].[cars_prices].&amp;[6.41E4],[cars_datasets_2025].[cars_prices].&amp;[6.44E4],[cars_datasets_2025].[cars_prices].&amp;[6.53E4],[cars_datasets_2025].[cars_prices].&amp;[6.55E4],[cars_datasets_2025].[cars_prices].&amp;[6.59E4],[cars_datasets_2025].[cars_prices].&amp;[6.67E4],[cars_datasets_2025].[cars_prices].&amp;[6.68E4],[cars_datasets_2025].[cars_prices].&amp;[6.73E4],[cars_datasets_2025].[cars_prices].&amp;[6.96E4],[cars_datasets_2025].[cars_prices].&amp;[6.99E4],[cars_datasets_2025].[cars_prices].&amp;[7.04E4],[cars_datasets_2025].[cars_prices].&amp;[7.06E4],[cars_datasets_2025].[cars_prices].&amp;[7.16E4],[cars_datasets_2025].[cars_prices].&amp;[7.22E4],[cars_datasets_2025].[cars_prices].&amp;[7.28E4],[cars_datasets_2025].[cars_prices].&amp;[7.54E4],[cars_datasets_2025].[cars_prices].&amp;[7.57E4],[cars_datasets_2025].[cars_prices].&amp;[7.67E4],[cars_datasets_2025].[cars_prices].&amp;[8.24E4],[cars_datasets_2025].[cars_prices].&amp;[8.29E4],[cars_datasets_2025].[cars_prices].&amp;[8.55E4],[cars_datasets_2025].[cars_prices].&amp;[8.67E4],[cars_datasets_2025].[cars_prices].&amp;[9.03E4],[cars_datasets_2025].[cars_prices].&amp;[9.05E4],[cars_datasets_2025].[cars_prices].&amp;[9.23E4],[cars_datasets_2025].[cars_prices].&amp;[9.38E4],[cars_datasets_2025].[cars_prices].&amp;[9.43E4],[cars_datasets_2025].[cars_prices].&amp;[9.48E4],[cars_datasets_2025].[cars_prices].&amp;[9.77E4],[cars_datasets_2025].[cars_prices].&amp;[9.83E4],[cars_datasets_2025].[cars_prices].&amp;[1.002E5],[cars_datasets_2025].[cars_prices].&amp;[1.014E5],[cars_datasets_2025].[cars_prices].&amp;[1.038E5],[cars_datasets_2025].[cars_prices].&amp;[1.056E5],[cars_datasets_2025].[cars_prices].&amp;[1.061E5],[cars_datasets_2025].[cars_prices].&amp;[1.065E5],[cars_datasets_2025].[cars_prices].&amp;[1.087E5],[cars_datasets_2025].[cars_prices].&amp;[1.112E5],[cars_datasets_2025].[cars_prices].&amp;[1.127E5],[cars_datasets_2025].[cars_prices].&amp;[1.133E5],[cars_datasets_2025].[cars_prices].&amp;[1.213E5],[cars_datasets_2025].[cars_prices].&amp;[1.289E5],[cars_datasets_2025].[cars_prices].&amp;[1.299E5],[cars_datasets_2025].[cars_prices].&amp;[1.313E5],[cars_datasets_2025].[cars_prices].&amp;[1.355E5],[cars_datasets_2025].[cars_prices].&amp;[1.367E5],[cars_datasets_2025].[cars_prices].&amp;[1.369E5],[cars_datasets_2025].[cars_prices].&amp;[1.394E5],[cars_datasets_2025].[cars_prices].&amp;[1.417E5],[cars_datasets_2025].[cars_prices].&amp;[1.453E5],[cars_datasets_2025].[cars_prices].&amp;[1.509E5],[cars_datasets_2025].[cars_prices].&amp;[1.573E5],[cars_datasets_2025].[cars_prices].&amp;[1.611E5],[cars_datasets_2025].[cars_prices].&amp;[1.672E4],[cars_datasets_2025].[cars_prices].&amp;[1.678E5],[cars_datasets_2025].[cars_prices].&amp;[1.752E5],[cars_datasets_2025].[cars_prices].&amp;[1.829E5],[cars_datasets_2025].[cars_prices].&amp;[1.841E5],[cars_datasets_2025].[cars_prices].&amp;[1.913E5],[cars_datasets_2025].[cars_prices].&amp;[1.972E5],[cars_datasets_2025].[cars_prices].&amp;[1.995E4],[cars_datasets_2025].[cars_prices].&amp;[2.002E5],[cars_datasets_2025].[cars_prices].&amp;[2.238E5],[cars_datasets_2025].[cars_prices].&amp;[2.304E5],[cars_datasets_2025].[cars_prices].&amp;[2.413E5],[cars_datasets_2025].[cars_prices].&amp;[2.496E4],[cars_datasets_2025].[cars_prices].&amp;[2.521E4],[cars_datasets_2025].[cars_prices].&amp;[2.539E4],[cars_datasets_2025].[cars_prices].&amp;[2.635E4],[cars_datasets_2025].[cars_prices].&amp;[2.932E5],[cars_datasets_2025].[cars_prices].&amp;[3.159E4],[cars_datasets_2025].[cars_prices].&amp;[3.749E4],[cars_datasets_2025].[cars_prices].&amp;[4.024E4],[cars_datasets_2025].[cars_prices].&amp;[4.129E4],[cars_datasets_2025].[cars_prices].&amp;[4.139E4],[cars_datasets_2025].[cars_prices].&amp;[4.145E4],[cars_datasets_2025].[cars_prices].&amp;[4.153E4],[cars_datasets_2025].[cars_prices].&amp;[4.175E4],[cars_datasets_2025].[cars_prices].&amp;[4.182E4],[cars_datasets_2025].[cars_prices].&amp;[4.282E4],[cars_datasets_2025].[cars_prices].&amp;[4.353E4],[cars_datasets_2025].[cars_prices].&amp;[4.415E4],[cars_datasets_2025].[cars_prices].&amp;[4.464E4],[cars_datasets_2025].[cars_prices].&amp;[4.579E4],[cars_datasets_2025].[cars_prices].&amp;[4.749E4],[cars_datasets_2025].[cars_prices].&amp;[5.049E4],[cars_datasets_2025].[cars_prices].&amp;[5.157E4],[cars_datasets_2025].[cars_prices].&amp;[5.324E4],[cars_datasets_2025].[cars_prices].&amp;[5.859E4],[cars_datasets_2025].[cars_prices].&amp;[5.895E4],[cars_datasets_2025].[cars_prices].&amp;[5.914E4],[cars_datasets_2025].[cars_prices].&amp;[5.999E4],[cars_datasets_2025].[cars_prices].&amp;[6.175E4],[cars_datasets_2025].[cars_prices].&amp;[6.454E4],[cars_datasets_2025].[cars_prices].&amp;[6.499E4],[cars_datasets_2025].[cars_prices].&amp;[7.942E4],[cars_datasets_2025].[cars_prices].&amp;[7.956E4],[cars_datasets_2025].[cars_prices].&amp;[8.491E4],[cars_datasets_2025].[cars_prices].&amp;[8.849E4],[cars_datasets_2025].[cars_prices].&amp;[9.655E4],[cars_datasets_2025].[cars_prices].&amp;[9.849E4],[cars_datasets_2025].[cars_prices].&amp;[1.0849E5],[cars_datasets_2025].[cars_prices].&amp;[1.1349E5],[cars_datasets_2025].[cars_prices].&amp;[1.3275E5],[cars_datasets_2025].[cars_prices].&amp;[1.4395E4],[cars_datasets_2025].[cars_prices].&amp;[1.4595E4],[cars_datasets_2025].[cars_prices].&amp;[1.4999E5],[cars_datasets_2025].[cars_prices].&amp;[1.7595E4],[cars_datasets_2025].[cars_prices].&amp;[1.8215E5],[cars_datasets_2025].[cars_prices].&amp;[1.9344E5],[cars_datasets_2025].[cars_prices].&amp;[2.1995E4],[cars_datasets_2025].[cars_prices].&amp;[2.5329E5],[cars_datasets_2025].[cars_prices].&amp;[2.7495E4],[cars_datasets_2025].[cars_prices].&amp;[2.8345E4],[cars_datasets_2025].[cars_prices].&amp;[2.8505E4],[cars_datasets_2025].[cars_prices].&amp;[2.8795E4],[cars_datasets_2025].[cars_prices].&amp;[2.9135E4],[cars_datasets_2025].[cars_prices].&amp;[2.9365E4],[cars_datasets_2025].[cars_prices].&amp;[3.0695E4],[cars_datasets_2025].[cars_prices].&amp;[3.1965E4],[cars_datasets_2025].[cars_prices].&amp;[3.4395E4],[cars_datasets_2025].[cars_prices].&amp;[3.5195E4],[cars_datasets_2025].[cars_prices].&amp;[3.5915E4],[cars_datasets_2025].[cars_prices].&amp;[3.6995E4],[cars_datasets_2025].[cars_prices].&amp;[3.7695E4],[cars_datasets_2025].[cars_prices].&amp;[3.8195E4],[cars_datasets_2025].[cars_prices].&amp;[3.8775E4],[cars_datasets_2025].[cars_prices].&amp;[3.9735E4],[cars_datasets_2025].[cars_prices].&amp;[4.0799E4],[cars_datasets_2025].[cars_prices].&amp;[4.1295E4],[cars_datasets_2025].[cars_prices].&amp;[4.2795E4],[cars_datasets_2025].[cars_prices].&amp;[4.3455E4],[cars_datasets_2025].[cars_prices].&amp;[4.4195E4],[cars_datasets_2025].[cars_prices].&amp;[4.5795E4],[cars_datasets_2025].[cars_prices].&amp;[4.6595E4],[cars_datasets_2025].[cars_prices].&amp;[4.8295E4],[cars_datasets_2025].[cars_prices].&amp;[4.8595E4],[cars_datasets_2025].[cars_prices].&amp;[5.0695E4],[cars_datasets_2025].[cars_prices].&amp;[5.0895E4],[cars_datasets_2025].[cars_prices].&amp;[5.0995E4],[cars_datasets_2025].[cars_prices].&amp;[5.1095E4],[cars_datasets_2025].[cars_prices].&amp;[5.5895E4],[cars_datasets_2025].[cars_prices].&amp;[5.6505E4],[cars_datasets_2025].[cars_prices].&amp;[5.6995E4],[cars_datasets_2025].[cars_prices].&amp;[5.7095E4],[cars_datasets_2025].[cars_prices].&amp;[5.9865E4],[cars_datasets_2025].[cars_prices].&amp;[5.9995E4],[cars_datasets_2025].[cars_prices].&amp;[6.0495E4],[cars_datasets_2025].[cars_prices].&amp;[6.1595E4],[cars_datasets_2025].[cars_prices].&amp;[6.1625E4],[cars_datasets_2025].[cars_prices].&amp;[6.2495E4],[cars_datasets_2025].[cars_prices].&amp;[6.3595E4],[cars_datasets_2025].[cars_prices].&amp;[6.4695E4],[cars_datasets_2025].[cars_prices].&amp;[6.5895E4],[cars_datasets_2025].[cars_prices].&amp;[6.6575E4],[cars_datasets_2025].[cars_prices].&amp;[7.1505E4],[cars_datasets_2025].[cars_prices].&amp;[7.3305E4],[cars_datasets_2025].[cars_prices].&amp;[7.6805E4],[cars_datasets_2025].[cars_prices].&amp;[7.9295E4],[cars_datasets_2025].[cars_prices].&amp;[8.2295E4],[cars_datasets_2025].[cars_prices].&amp;[8.2495E4],[cars_datasets_2025].[cars_prices].&amp;[9.1495E4],[cars_datasets_2025].[cars_prices].&amp;[1.04595E5]}"/>
    <s v="{[cars_datasets_2025].[performance_0_100_kmh_sec].&amp;[1.9],[cars_datasets_2025].[performance_0_100_kmh_sec].&amp;[2.1],[cars_datasets_2025].[performance_0_100_kmh_sec].&amp;[2.2],[cars_datasets_2025].[performance_0_100_kmh_sec].&amp;[2.3],[cars_datasets_2025].[performance_0_100_kmh_sec].&amp;[2.4],[cars_datasets_2025].[performance_0_100_kmh_sec].&amp;[2.5],[cars_datasets_2025].[performance_0_100_kmh_sec].&amp;[2.8],[cars_datasets_2025].[performance_0_100_kmh_sec].&amp;[3.2],[cars_datasets_2025].[performance_0_100_kmh_sec].&amp;[3.4],[cars_datasets_2025].[performance_0_100_kmh_sec].&amp;[3.6],[cars_datasets_2025].[performance_0_100_kmh_sec].&amp;[3.9],[cars_datasets_2025].[performance_0_100_kmh_sec].&amp;[4.],[cars_datasets_2025].[performance_0_100_kmh_sec].&amp;[4.2],[cars_datasets_2025].[performance_0_100_kmh_sec].&amp;[4.3],[cars_datasets_2025].[performance_0_100_kmh_sec].&amp;[4.7],[cars_datasets_2025].[performance_0_100_kmh_sec].&amp;[4.8],[cars_datasets_2025].[performance_0_100_kmh_sec].&amp;[1.76E1],[cars_datasets_2025].[performance_0_100_kmh_sec].&amp;[1.8E1],[cars_datasets_2025].[performance_0_100_kmh_sec].&amp;[1.85E1],[cars_datasets_2025].[performance_0_100_kmh_sec].&amp;[2.E1],[cars_datasets_2025].[performance_0_100_kmh_sec].&amp;[2.2E1],[cars_datasets_2025].[performance_0_100_kmh_sec].&amp;[2.3E1],[cars_datasets_2025].[performance_0_100_kmh_sec].&amp;[2.9E1],[cars_datasets_2025].[performance_0_100_kmh_sec].&amp;[3.5E1],[cars_datasets_2025].[performance_0_100_kmh_sec].&amp;[3.],[cars_datasets_2025].[performance_0_100_kmh_sec].&amp;[5.],[cars_datasets_2025].[performance_0_100_kmh_sec].&amp;[6.],[cars_datasets_2025].[performance_0_100_kmh_sec].&amp;[7.],[cars_datasets_2025].[performance_0_100_kmh_sec].&amp;[8.],[cars_datasets_2025].[performance_0_100_kmh_sec].&amp;[9.],[cars_datasets_2025].[performance_0_100_kmh_sec].&amp;[2.6],[cars_datasets_2025].[performance_0_100_kmh_sec].&amp;[2.7],[cars_datasets_2025].[performance_0_100_kmh_sec].&amp;[2.9],[cars_datasets_2025].[performance_0_100_kmh_sec].&amp;[3.1],[cars_datasets_2025].[performance_0_100_kmh_sec].&amp;[3.3],[cars_datasets_2025].[performance_0_100_kmh_sec].&amp;[3.5],[cars_datasets_2025].[performance_0_100_kmh_sec].&amp;[3.7],[cars_datasets_2025].[performance_0_100_kmh_sec].&amp;[3.8],[cars_datasets_2025].[performance_0_100_kmh_sec].&amp;[4.1],[cars_datasets_2025].[performance_0_100_kmh_sec].&amp;[4.4],[cars_datasets_2025].[performance_0_100_kmh_sec].&amp;[4.5],[cars_datasets_2025].[performance_0_100_kmh_sec].&amp;[4.6],[cars_datasets_2025].[performance_0_100_kmh_sec].&amp;[4.9],[cars_datasets_2025].[performance_0_100_kmh_sec].&amp;[5.1],[cars_datasets_2025].[performance_0_100_kmh_sec].&amp;[5.2],[cars_datasets_2025].[performance_0_100_kmh_sec].&amp;[5.3],[cars_datasets_2025].[performance_0_100_kmh_sec].&amp;[5.4],[cars_datasets_2025].[performance_0_100_kmh_sec].&amp;[5.5],[cars_datasets_2025].[performance_0_100_kmh_sec].&amp;[5.6],[cars_datasets_2025].[performance_0_100_kmh_sec].&amp;[5.7],[cars_datasets_2025].[performance_0_100_kmh_sec].&amp;[5.8],[cars_datasets_2025].[performance_0_100_kmh_sec].&amp;[5.9],[cars_datasets_2025].[performance_0_100_kmh_sec].&amp;[6.1],[cars_datasets_2025].[performance_0_100_kmh_sec].&amp;[6.2],[cars_datasets_2025].[performance_0_100_kmh_sec].&amp;[6.3],[cars_datasets_2025].[performance_0_100_kmh_sec].&amp;[6.4],[cars_datasets_2025].[performance_0_100_kmh_sec].&amp;[6.5],[cars_datasets_2025].[performance_0_100_kmh_sec].&amp;[6.6],[cars_datasets_2025].[performance_0_100_kmh_sec].&amp;[6.7],[cars_datasets_2025].[performance_0_100_kmh_sec].&amp;[6.8],[cars_datasets_2025].[performance_0_100_kmh_sec].&amp;[6.9],[cars_datasets_2025].[performance_0_100_kmh_sec].&amp;[7.1],[cars_datasets_2025].[performance_0_100_kmh_sec].&amp;[7.2],[cars_datasets_2025].[performance_0_100_kmh_sec].&amp;[7.3],[cars_datasets_2025].[performance_0_100_kmh_sec].&amp;[7.4],[cars_datasets_2025].[performance_0_100_kmh_sec].&amp;[7.5],[cars_datasets_2025].[performance_0_100_kmh_sec].&amp;[7.6],[cars_datasets_2025].[performance_0_100_kmh_sec].&amp;[7.7],[cars_datasets_2025].[performance_0_100_kmh_sec].&amp;[7.8],[cars_datasets_2025].[performance_0_100_kmh_sec].&amp;[7.9],[cars_datasets_2025].[performance_0_100_kmh_sec].&amp;[8.1],[cars_datasets_2025].[performance_0_100_kmh_sec].&amp;[8.2],[cars_datasets_2025].[performance_0_100_kmh_sec].&amp;[8.3],[cars_datasets_2025].[performance_0_100_kmh_sec].&amp;[8.4],[cars_datasets_2025].[performance_0_100_kmh_sec].&amp;[8.5],[cars_datasets_2025].[performance_0_100_kmh_sec].&amp;[8.6],[cars_datasets_2025].[performance_0_100_kmh_sec].&amp;[8.7],[cars_datasets_2025].[performance_0_100_kmh_sec].&amp;[8.8],[cars_datasets_2025].[performance_0_100_kmh_sec].&amp;[8.9],[cars_datasets_2025].[performance_0_100_kmh_sec].&amp;[9.1],[cars_datasets_2025].[performance_0_100_kmh_sec].&amp;[9.2],[cars_datasets_2025].[performance_0_100_kmh_sec].&amp;[9.3],[cars_datasets_2025].[performance_0_100_kmh_sec].&amp;[9.4],[cars_datasets_2025].[performance_0_100_kmh_sec].&amp;[9.5],[cars_datasets_2025].[performance_0_100_kmh_sec].&amp;[9.6],[cars_datasets_2025].[performance_0_100_kmh_sec].&amp;[9.7],[cars_datasets_2025].[performance_0_100_kmh_sec].&amp;[9.8],[cars_datasets_2025].[performance_0_100_kmh_sec].&amp;[9.9],[cars_datasets_2025].[performance_0_100_kmh_sec].&amp;[1.E1],[cars_datasets_2025].[performance_0_100_kmh_sec].&amp;[1.1E1],[cars_datasets_2025].[performance_0_100_kmh_sec].&amp;[1.2E1],[cars_datasets_2025].[performance_0_100_kmh_sec].&amp;[1.3E1],[cars_datasets_2025].[performance_0_100_kmh_sec].&amp;[1.4E1],[cars_datasets_2025].[performance_0_100_kmh_sec].&amp;[1.5E1],[cars_datasets_2025].[performance_0_100_kmh_sec].&amp;[1.6E1],[cars_datasets_2025].[performance_0_100_kmh_sec].&amp;[1.7E1],[cars_datasets_2025].[performance_0_100_kmh_sec].&amp;[1.01E1],[cars_datasets_2025].[performance_0_100_kmh_sec].&amp;[1.02E1],[cars_datasets_2025].[performance_0_100_kmh_sec].&amp;[1.03E1],[cars_datasets_2025].[performance_0_100_kmh_sec].&amp;[1.04E1],[cars_datasets_2025].[performance_0_100_kmh_sec].&amp;[1.05E1],[cars_datasets_2025].[performance_0_100_kmh_sec].&amp;[1.06E1],[cars_datasets_2025].[performance_0_100_kmh_sec].&amp;[1.07E1],[cars_datasets_2025].[performance_0_100_kmh_sec].&amp;[1.08E1],[cars_datasets_2025].[performance_0_100_kmh_sec].&amp;[1.09E1],[cars_datasets_2025].[performance_0_100_kmh_sec].&amp;[1.12E1],[cars_datasets_2025].[performance_0_100_kmh_sec].&amp;[1.15E1],[cars_datasets_2025].[performance_0_100_kmh_sec].&amp;[1.17E1],[cars_datasets_2025].[performance_0_100_kmh_sec].&amp;[1.19E1],[cars_datasets_2025].[performance_0_100_kmh_sec].&amp;[1.22E1],[cars_datasets_2025].[performance_0_100_kmh_sec].&amp;[1.23E1],[cars_datasets_2025].[performance_0_100_kmh_sec].&amp;[1.24E1],[cars_datasets_2025].[performance_0_100_kmh_sec].&amp;[1.25E1],[cars_datasets_2025].[performance_0_100_kmh_sec].&amp;[1.28E1],[cars_datasets_2025].[performance_0_100_kmh_sec].&amp;[1.29E1],[cars_datasets_2025].[performance_0_100_kmh_sec].&amp;[1.35E1],[cars_datasets_2025].[performance_0_100_kmh_sec].&amp;[1.37E1],[cars_datasets_2025].[performance_0_100_kmh_sec].&amp;[1.38E1],[cars_datasets_2025].[performance_0_100_kmh_sec].&amp;[1.43E1],[cars_datasets_2025].[performance_0_100_kmh_sec].&amp;[1.45E1],[cars_datasets_2025].[performance_0_100_kmh_sec].&amp;[1.48E1],[cars_datasets_2025].[performance_0_100_kmh_sec].&amp;[1.55E1],[cars_datasets_2025].[performance_0_100_kmh_sec].&amp;[1.65E1],[cars_datasets_2025].[performance_0_100_kmh_sec].&amp;[1.75E1]}"/>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<sst xmlns="http://schemas.openxmlformats.org/spreadsheetml/2006/main" count="314" uniqueCount="126">
  <si>
    <t>Row Labels</t>
  </si>
  <si>
    <t>bugatti</t>
  </si>
  <si>
    <t>mazda</t>
  </si>
  <si>
    <t>lamborghini</t>
  </si>
  <si>
    <t>tata motors</t>
  </si>
  <si>
    <t>cars_prices</t>
  </si>
  <si>
    <t>(Multiple Items)</t>
  </si>
  <si>
    <t>acura</t>
  </si>
  <si>
    <t>aston martin</t>
  </si>
  <si>
    <t>audi</t>
  </si>
  <si>
    <t>bentley</t>
  </si>
  <si>
    <t>bmw</t>
  </si>
  <si>
    <t>cadillac</t>
  </si>
  <si>
    <t>chevrolet</t>
  </si>
  <si>
    <t>ferrari</t>
  </si>
  <si>
    <t>ford</t>
  </si>
  <si>
    <t>gmc</t>
  </si>
  <si>
    <t>honda</t>
  </si>
  <si>
    <t>hyundai</t>
  </si>
  <si>
    <t>jaguar land rover</t>
  </si>
  <si>
    <t>jeep</t>
  </si>
  <si>
    <t>kia</t>
  </si>
  <si>
    <t>mahindra</t>
  </si>
  <si>
    <t>maruti suzuki</t>
  </si>
  <si>
    <t>mercedes</t>
  </si>
  <si>
    <t>mitsubishi</t>
  </si>
  <si>
    <t>nissan</t>
  </si>
  <si>
    <t>peugeot</t>
  </si>
  <si>
    <t>porsche</t>
  </si>
  <si>
    <t>rolls royce</t>
  </si>
  <si>
    <t>tesla</t>
  </si>
  <si>
    <t>toyota</t>
  </si>
  <si>
    <t>volkswagen</t>
  </si>
  <si>
    <t>volvo</t>
  </si>
  <si>
    <t>Luxury</t>
  </si>
  <si>
    <t>hybrid</t>
  </si>
  <si>
    <t>Compact</t>
  </si>
  <si>
    <t>price</t>
  </si>
  <si>
    <t>car name</t>
  </si>
  <si>
    <t>company</t>
  </si>
  <si>
    <t>Average prices</t>
  </si>
  <si>
    <t>AVG price</t>
  </si>
  <si>
    <t>AVG hourse power</t>
  </si>
  <si>
    <t>Acceleration (0–100 km/h, sec)</t>
  </si>
  <si>
    <t>AVG speed</t>
  </si>
  <si>
    <t>car count</t>
  </si>
  <si>
    <t>fuel type</t>
  </si>
  <si>
    <t>AVG car prices</t>
  </si>
  <si>
    <t>seat category</t>
  </si>
  <si>
    <t>car ccount</t>
  </si>
  <si>
    <t>car category</t>
  </si>
  <si>
    <t>cars_names</t>
  </si>
  <si>
    <t>company_names</t>
  </si>
  <si>
    <t>Acc</t>
  </si>
  <si>
    <t>Average of Acceleration (0–100 km/h, sec)</t>
  </si>
  <si>
    <t>top 10 avg speed</t>
  </si>
  <si>
    <t>top 10  acceleration</t>
  </si>
  <si>
    <t>petrol</t>
  </si>
  <si>
    <t>electric</t>
  </si>
  <si>
    <t>Premium</t>
  </si>
  <si>
    <t>Family</t>
  </si>
  <si>
    <t>plug in hybrid</t>
  </si>
  <si>
    <t>petrol hybrid</t>
  </si>
  <si>
    <t>diesel</t>
  </si>
  <si>
    <t>Regular</t>
  </si>
  <si>
    <t>Economic Compact</t>
  </si>
  <si>
    <t>Family Utility</t>
  </si>
  <si>
    <t>Green Tech</t>
  </si>
  <si>
    <t>Other</t>
  </si>
  <si>
    <t>diesel hybrid</t>
  </si>
  <si>
    <t>hydrogen</t>
  </si>
  <si>
    <t>hybrid gas + electric</t>
  </si>
  <si>
    <t>plug in</t>
  </si>
  <si>
    <t>awd</t>
  </si>
  <si>
    <t>gas</t>
  </si>
  <si>
    <t>ev</t>
  </si>
  <si>
    <t>cng</t>
  </si>
  <si>
    <t>tiago nrg</t>
  </si>
  <si>
    <t>tiago</t>
  </si>
  <si>
    <t>indigo glx</t>
  </si>
  <si>
    <t>indigo lx</t>
  </si>
  <si>
    <t>indigo ecs</t>
  </si>
  <si>
    <t>indica ev2</t>
  </si>
  <si>
    <t>indica v2 xeta</t>
  </si>
  <si>
    <t>Ultra Economy</t>
  </si>
  <si>
    <t>Economy</t>
  </si>
  <si>
    <t>golf</t>
  </si>
  <si>
    <t>elantra</t>
  </si>
  <si>
    <t>polo bluemotion</t>
  </si>
  <si>
    <t>spiano</t>
  </si>
  <si>
    <t>carol p360</t>
  </si>
  <si>
    <t>nano genx</t>
  </si>
  <si>
    <t>Small</t>
  </si>
  <si>
    <t>Van/Bus</t>
  </si>
  <si>
    <t>Luxury Performance</t>
  </si>
  <si>
    <t>Sports Car</t>
  </si>
  <si>
    <t>Super Luxury</t>
  </si>
  <si>
    <t>chiron pur sport</t>
  </si>
  <si>
    <t>chiron noire</t>
  </si>
  <si>
    <t>chiron super sport</t>
  </si>
  <si>
    <t>bolide</t>
  </si>
  <si>
    <t>veneno roadster</t>
  </si>
  <si>
    <t>mistral</t>
  </si>
  <si>
    <t>divo</t>
  </si>
  <si>
    <t>787b race car</t>
  </si>
  <si>
    <t>centodieci</t>
  </si>
  <si>
    <t>la voiture noire</t>
  </si>
  <si>
    <t>roadster 2</t>
  </si>
  <si>
    <t>model s plaid</t>
  </si>
  <si>
    <t>chiron sport</t>
  </si>
  <si>
    <t>valkyrie</t>
  </si>
  <si>
    <t>911 carrera 4</t>
  </si>
  <si>
    <t>panamera 4s</t>
  </si>
  <si>
    <t>macan gts</t>
  </si>
  <si>
    <t>panamera platinum edition</t>
  </si>
  <si>
    <t>jaguar f type</t>
  </si>
  <si>
    <t>macan s</t>
  </si>
  <si>
    <t>508 pse peugeot sport engineered</t>
  </si>
  <si>
    <t>avg performance</t>
  </si>
  <si>
    <t>cars count</t>
  </si>
  <si>
    <t>avg hourse power</t>
  </si>
  <si>
    <t>% Petrol</t>
  </si>
  <si>
    <t>total prices</t>
  </si>
  <si>
    <t>car</t>
  </si>
  <si>
    <t>(blank)</t>
  </si>
  <si>
    <t>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</si>
</sst>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
    <numFmt numFmtId="165" formatCode="0.00%;\-0.00%;0.00%"/>
  </numFmts>
  <fonts count="24"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0.5"/>
      <color theme="9" tint="0.59999389629810485"/>
      <name val="Arial Black"/>
      <family val="2"/>
    </font>
    <font>
      <b/>
      <sz val="8"/>
      <color theme="0" tint="-4.9989318521683403E-2"/>
      <name val="Aptos Narrow"/>
      <family val="2"/>
      <scheme val="minor"/>
    </font>
    <font>
      <sz val="10"/>
      <color theme="5" tint="0.39997558519241921"/>
      <name val="Aptos Narrow"/>
      <family val="2"/>
      <scheme val="minor"/>
    </font>
    <font>
      <sz val="9"/>
      <color theme="5" tint="0.39997558519241921"/>
      <name val="Aptos Narrow"/>
      <family val="2"/>
      <scheme val="minor"/>
    </font>
    <font>
      <b/>
      <sz val="9"/>
      <color theme="5" tint="0.39997558519241921"/>
      <name val="Aptos Narrow"/>
      <family val="2"/>
      <scheme val="minor"/>
    </font>
    <font>
      <sz val="11"/>
      <color rgb="FF353B5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353B50"/>
        <bgColor indexed="64"/>
      </patternFill>
    </fill>
    <fill>
      <patternFill patternType="solid">
        <fgColor rgb="FF292F42"/>
        <bgColor indexed="64"/>
      </patternFill>
    </fill>
  </fills>
  <borders count="3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F4FAEA"/>
      </left>
      <right/>
      <top/>
      <bottom/>
      <diagonal/>
    </border>
    <border>
      <left/>
      <right style="thin">
        <color rgb="FFF4FAEA"/>
      </right>
      <top/>
      <bottom/>
      <diagonal/>
    </border>
    <border>
      <left style="thin">
        <color rgb="FFF4FAEA"/>
      </left>
      <right/>
      <top style="thin">
        <color rgb="FFF4FAEA"/>
      </top>
      <bottom style="thin">
        <color rgb="FFF4FAEA"/>
      </bottom>
      <diagonal/>
    </border>
    <border>
      <left/>
      <right/>
      <top style="thin">
        <color rgb="FFF4FAEA"/>
      </top>
      <bottom style="thin">
        <color rgb="FFF4FAEA"/>
      </bottom>
      <diagonal/>
    </border>
    <border>
      <left/>
      <right style="thin">
        <color rgb="FFF4FAEA"/>
      </right>
      <top style="thin">
        <color rgb="FFF4FAEA"/>
      </top>
      <bottom style="thin">
        <color rgb="FFF4FAEA"/>
      </bottom>
      <diagonal/>
    </border>
    <border>
      <left style="thin">
        <color rgb="FFF4FAEA"/>
      </left>
      <right style="thin">
        <color rgb="FF353B50"/>
      </right>
      <top/>
      <bottom style="thin">
        <color rgb="FFF4FAEA"/>
      </bottom>
      <diagonal/>
    </border>
    <border>
      <left style="thin">
        <color rgb="FF353B50"/>
      </left>
      <right style="thin">
        <color rgb="FFF4FAEA"/>
      </right>
      <top style="thin">
        <color rgb="FF353B50"/>
      </top>
      <bottom style="thin">
        <color rgb="FF353B50"/>
      </bottom>
      <diagonal/>
    </border>
    <border>
      <left/>
      <right style="thin">
        <color rgb="FFF4FAEA"/>
      </right>
      <top/>
      <bottom style="thin">
        <color rgb="FFF4FAEA"/>
      </bottom>
      <diagonal/>
    </border>
    <border>
      <left/>
      <right style="thin">
        <color rgb="FF353B50"/>
      </right>
      <top style="thin">
        <color rgb="FF353B50"/>
      </top>
      <bottom style="thin">
        <color rgb="FFF4FAEA"/>
      </bottom>
      <diagonal/>
    </border>
    <border>
      <left/>
      <right style="thin">
        <color rgb="FF353B50"/>
      </right>
      <top style="thin">
        <color rgb="FF353B50"/>
      </top>
      <bottom style="thin">
        <color rgb="FF353B50"/>
      </bottom>
      <diagonal/>
    </border>
    <border>
      <left/>
      <right style="thin">
        <color rgb="FF353B50"/>
      </right>
      <top/>
      <bottom/>
      <diagonal/>
    </border>
    <border>
      <left/>
      <right style="thin">
        <color rgb="FF353B50"/>
      </right>
      <top/>
      <bottom style="thin">
        <color rgb="FF353B50"/>
      </bottom>
      <diagonal/>
    </border>
    <border>
      <left style="thin">
        <color rgb="FFF4FAEA"/>
      </left>
      <right/>
      <top style="thin">
        <color rgb="FFF4FAEA"/>
      </top>
      <bottom style="thin">
        <color rgb="FF353B50"/>
      </bottom>
      <diagonal/>
    </border>
    <border>
      <left/>
      <right/>
      <top style="thin">
        <color rgb="FFF4FAEA"/>
      </top>
      <bottom style="thin">
        <color rgb="FF353B50"/>
      </bottom>
      <diagonal/>
    </border>
    <border>
      <left/>
      <right style="thin">
        <color rgb="FFF4FAEA"/>
      </right>
      <top style="thin">
        <color rgb="FFF4FAEA"/>
      </top>
      <bottom style="thin">
        <color rgb="FF353B50"/>
      </bottom>
      <diagonal/>
    </border>
    <border>
      <left/>
      <right style="thin">
        <color rgb="FF353B50"/>
      </right>
      <top/>
      <bottom style="thin">
        <color rgb="FFF4FAEA"/>
      </bottom>
      <diagonal/>
    </border>
    <border>
      <left style="thin">
        <color rgb="FFF4FAEA"/>
      </left>
      <right style="thin">
        <color rgb="FFF4FAEA"/>
      </right>
      <top/>
      <bottom/>
      <diagonal/>
    </border>
    <border>
      <left/>
      <right/>
      <top/>
      <bottom style="thin">
        <color rgb="FF292F42"/>
      </bottom>
      <diagonal/>
    </border>
    <border>
      <left/>
      <right style="thin">
        <color rgb="FF292F42"/>
      </right>
      <top/>
      <bottom style="thin">
        <color rgb="FF292F42"/>
      </bottom>
      <diagonal/>
    </border>
    <border>
      <left/>
      <right style="thin">
        <color rgb="FF292F42"/>
      </right>
      <top style="thin">
        <color rgb="FF292F42"/>
      </top>
      <bottom style="thin">
        <color rgb="FF292F42"/>
      </bottom>
      <diagonal/>
    </border>
    <border>
      <left style="thin">
        <color rgb="FFF4FAEA"/>
      </left>
      <right style="thin">
        <color rgb="FF353B50"/>
      </right>
      <top style="thin">
        <color rgb="FF353B50"/>
      </top>
      <bottom style="thin">
        <color rgb="FF353B50"/>
      </bottom>
      <diagonal/>
    </border>
    <border>
      <left style="thin">
        <color rgb="FFF4FAEA"/>
      </left>
      <right style="thin">
        <color rgb="FF353B50"/>
      </right>
      <top/>
      <bottom/>
      <diagonal/>
    </border>
    <border>
      <left style="thin">
        <color rgb="FF353B50"/>
      </left>
      <right style="thin">
        <color rgb="FFF4FAEA"/>
      </right>
      <top/>
      <bottom/>
      <diagonal/>
    </border>
    <border>
      <left style="thin">
        <color rgb="FFF4FAEA"/>
      </left>
      <right style="thin">
        <color rgb="FF353B50"/>
      </right>
      <top/>
      <bottom style="thin">
        <color rgb="FF353B50"/>
      </bottom>
      <diagonal/>
    </border>
    <border>
      <left style="thin">
        <color rgb="FF353B50"/>
      </left>
      <right style="thin">
        <color rgb="FFF4FAEA"/>
      </right>
      <top/>
      <bottom style="thin">
        <color rgb="FF353B50"/>
      </bottom>
      <diagonal/>
    </border>
    <border>
      <left style="thin">
        <color rgb="FF353B50"/>
      </left>
      <right style="thin">
        <color rgb="FFF4FAEA"/>
      </right>
      <top/>
      <bottom style="thin">
        <color rgb="FFF4FAEA"/>
      </bottom>
      <diagonal/>
    </border>
    <border>
      <left style="thin">
        <color rgb="FFF4FAEA"/>
      </left>
      <right style="thin">
        <color rgb="FFF4FAEA"/>
      </right>
      <top style="thin">
        <color rgb="FF292F42"/>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0">
    <xf numFmtId="0" fontId="0" fillId="0" borderId="0" xfId="0"/>
    <xf numFmtId="0" fontId="0" fillId="0" borderId="0" xfId="0" pivotButton="1"/>
    <xf numFmtId="0" fontId="0" fillId="0" borderId="0" xfId="0" applyAlignment="1">
      <alignment horizontal="left"/>
    </xf>
    <xf numFmtId="3" fontId="0" fillId="0" borderId="0" xfId="0" applyNumberFormat="1"/>
    <xf numFmtId="0" fontId="0" fillId="0" borderId="0" xfId="0" applyAlignment="1">
      <alignment horizontal="left" indent="1"/>
    </xf>
    <xf numFmtId="164" fontId="0" fillId="0" borderId="0" xfId="0" applyNumberFormat="1"/>
    <xf numFmtId="2" fontId="0" fillId="0" borderId="0" xfId="0" applyNumberFormat="1"/>
    <xf numFmtId="1" fontId="0" fillId="0" borderId="0" xfId="0" applyNumberFormat="1"/>
    <xf numFmtId="165" fontId="0" fillId="0" borderId="0" xfId="0" applyNumberFormat="1"/>
    <xf numFmtId="0" fontId="0" fillId="34" borderId="0" xfId="0" applyFill="1"/>
    <xf numFmtId="0" fontId="19" fillId="33" borderId="15" xfId="0" applyFont="1" applyFill="1" applyBorder="1" applyAlignment="1">
      <alignment horizontal="left" vertical="center"/>
    </xf>
    <xf numFmtId="0" fontId="19" fillId="33" borderId="17" xfId="0" applyFont="1" applyFill="1" applyBorder="1" applyAlignment="1">
      <alignment horizontal="center" vertical="center"/>
    </xf>
    <xf numFmtId="0" fontId="19" fillId="33" borderId="19" xfId="0" applyFont="1" applyFill="1" applyBorder="1" applyAlignment="1">
      <alignment horizontal="left" vertical="center"/>
    </xf>
    <xf numFmtId="0" fontId="19" fillId="33" borderId="20" xfId="0" applyFont="1" applyFill="1" applyBorder="1" applyAlignment="1">
      <alignment horizontal="left" vertical="center"/>
    </xf>
    <xf numFmtId="0" fontId="19" fillId="33" borderId="21" xfId="0" applyFont="1" applyFill="1" applyBorder="1" applyAlignment="1">
      <alignment horizontal="left" vertical="center"/>
    </xf>
    <xf numFmtId="0" fontId="19" fillId="33" borderId="18" xfId="0" applyFont="1" applyFill="1" applyBorder="1" applyAlignment="1">
      <alignment horizontal="left" vertical="center"/>
    </xf>
    <xf numFmtId="0" fontId="19" fillId="33" borderId="16" xfId="0" applyFont="1" applyFill="1" applyBorder="1" applyAlignment="1">
      <alignment horizontal="center" vertical="center"/>
    </xf>
    <xf numFmtId="0" fontId="19" fillId="33" borderId="25" xfId="0" applyFont="1" applyFill="1" applyBorder="1" applyAlignment="1">
      <alignment horizontal="left" vertical="center"/>
    </xf>
    <xf numFmtId="0" fontId="0" fillId="34" borderId="11" xfId="0" applyFill="1" applyBorder="1"/>
    <xf numFmtId="0" fontId="0" fillId="34" borderId="26" xfId="0" applyFill="1" applyBorder="1"/>
    <xf numFmtId="0" fontId="20" fillId="33" borderId="22" xfId="0" applyFont="1" applyFill="1" applyBorder="1" applyAlignment="1">
      <alignment horizontal="center" vertical="center"/>
    </xf>
    <xf numFmtId="0" fontId="21" fillId="33" borderId="23" xfId="0" applyFont="1" applyFill="1" applyBorder="1" applyAlignment="1">
      <alignment horizontal="center" vertical="center"/>
    </xf>
    <xf numFmtId="0" fontId="21" fillId="33" borderId="24" xfId="0" applyFont="1" applyFill="1" applyBorder="1" applyAlignment="1">
      <alignment horizontal="center" vertical="center"/>
    </xf>
    <xf numFmtId="0" fontId="22" fillId="33" borderId="10" xfId="0" applyFont="1" applyFill="1" applyBorder="1" applyAlignment="1">
      <alignment horizontal="center" vertical="center"/>
    </xf>
    <xf numFmtId="0" fontId="22" fillId="33" borderId="11" xfId="0" applyFont="1" applyFill="1" applyBorder="1" applyAlignment="1">
      <alignment horizontal="center" vertical="center"/>
    </xf>
    <xf numFmtId="0" fontId="0" fillId="34" borderId="27" xfId="0" applyFill="1" applyBorder="1"/>
    <xf numFmtId="0" fontId="0" fillId="34" borderId="28" xfId="0" applyFill="1" applyBorder="1"/>
    <xf numFmtId="0" fontId="0" fillId="34" borderId="29" xfId="0" applyFill="1" applyBorder="1"/>
    <xf numFmtId="0" fontId="22" fillId="33" borderId="0" xfId="0" applyFont="1" applyFill="1" applyAlignment="1">
      <alignment horizontal="center" vertical="center"/>
    </xf>
    <xf numFmtId="0" fontId="19" fillId="33" borderId="30" xfId="0" applyFont="1" applyFill="1" applyBorder="1" applyAlignment="1">
      <alignment horizontal="left" vertical="center"/>
    </xf>
    <xf numFmtId="0" fontId="19" fillId="33" borderId="31" xfId="0" applyFont="1" applyFill="1" applyBorder="1" applyAlignment="1">
      <alignment horizontal="left" vertical="center"/>
    </xf>
    <xf numFmtId="0" fontId="19" fillId="33" borderId="32" xfId="0" applyFont="1" applyFill="1" applyBorder="1" applyAlignment="1">
      <alignment horizontal="center" vertical="center"/>
    </xf>
    <xf numFmtId="0" fontId="19" fillId="33" borderId="33" xfId="0" applyFont="1" applyFill="1" applyBorder="1" applyAlignment="1">
      <alignment horizontal="left" vertical="center"/>
    </xf>
    <xf numFmtId="0" fontId="19" fillId="33" borderId="34" xfId="0" applyFont="1" applyFill="1" applyBorder="1" applyAlignment="1">
      <alignment horizontal="center" vertical="center"/>
    </xf>
    <xf numFmtId="0" fontId="19" fillId="33" borderId="35" xfId="0" applyFont="1" applyFill="1" applyBorder="1" applyAlignment="1">
      <alignment horizontal="center" vertical="center"/>
    </xf>
    <xf numFmtId="0" fontId="0" fillId="34" borderId="36" xfId="0" applyFill="1" applyBorder="1"/>
    <xf numFmtId="0" fontId="23" fillId="34" borderId="0" xfId="0" applyFont="1" applyFill="1"/>
    <xf numFmtId="0" fontId="18" fillId="33" borderId="12" xfId="0" applyFont="1" applyFill="1" applyBorder="1" applyAlignment="1">
      <alignment horizontal="center"/>
    </xf>
    <xf numFmtId="0" fontId="16" fillId="33" borderId="13" xfId="0" applyFont="1" applyFill="1" applyBorder="1" applyAlignment="1">
      <alignment horizontal="center"/>
    </xf>
    <xf numFmtId="0" fontId="16" fillId="33" borderId="14"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
    <dxf>
      <font>
        <b/>
        <strike val="0"/>
        <outline val="0"/>
        <shadow val="0"/>
        <u val="none"/>
        <vertAlign val="baseline"/>
        <sz val="8"/>
        <color theme="0" tint="-4.9989318521683403E-2"/>
        <name val="Aptos Narrow"/>
        <family val="2"/>
        <scheme val="minor"/>
      </font>
      <fill>
        <patternFill patternType="solid">
          <fgColor indexed="64"/>
          <bgColor rgb="FF353B50"/>
        </patternFill>
      </fill>
      <alignment horizontal="center" vertical="center" textRotation="0" wrapText="0" indent="0" justifyLastLine="0" shrinkToFit="0" readingOrder="0"/>
      <border diagonalUp="0" diagonalDown="0">
        <left style="thin">
          <color rgb="FF353B50"/>
        </left>
        <right style="thin">
          <color rgb="FFF4FAEA"/>
        </right>
        <top style="thin">
          <color rgb="FF353B50"/>
        </top>
        <bottom style="thin">
          <color rgb="FF353B50"/>
        </bottom>
        <vertical/>
        <horizontal style="thin">
          <color rgb="FF353B50"/>
        </horizontal>
      </border>
    </dxf>
    <dxf>
      <font>
        <b/>
        <strike val="0"/>
        <outline val="0"/>
        <shadow val="0"/>
        <u val="none"/>
        <vertAlign val="baseline"/>
        <sz val="8"/>
        <color theme="0" tint="-4.9989318521683403E-2"/>
        <name val="Aptos Narrow"/>
        <family val="2"/>
        <scheme val="minor"/>
      </font>
      <fill>
        <patternFill patternType="solid">
          <fgColor indexed="64"/>
          <bgColor rgb="FF353B50"/>
        </patternFill>
      </fill>
      <alignment horizontal="left" vertical="center" textRotation="0" wrapText="0" indent="0" justifyLastLine="0" shrinkToFit="0" readingOrder="0"/>
      <border diagonalUp="0" diagonalDown="0">
        <left style="thin">
          <color auto="1"/>
        </left>
        <right style="thin">
          <color rgb="FF353B50"/>
        </right>
        <top/>
        <bottom/>
        <vertical/>
        <horizontal/>
      </border>
    </dxf>
    <dxf>
      <font>
        <b/>
        <strike val="0"/>
        <outline val="0"/>
        <shadow val="0"/>
        <u val="none"/>
        <vertAlign val="baseline"/>
        <sz val="8"/>
        <color theme="0" tint="-4.9989318521683403E-2"/>
        <name val="Aptos Narrow"/>
        <family val="2"/>
        <scheme val="minor"/>
      </font>
      <fill>
        <patternFill patternType="solid">
          <fgColor indexed="64"/>
          <bgColor rgb="FF353B50"/>
        </patternFill>
      </fill>
      <alignment horizontal="left" vertical="center" textRotation="0" wrapText="0" indent="0" justifyLastLine="0" shrinkToFit="0" readingOrder="0"/>
      <border diagonalUp="0" diagonalDown="0">
        <left style="thin">
          <color rgb="FFF4FAEA"/>
        </left>
        <right style="thin">
          <color rgb="FF353B50"/>
        </right>
        <top/>
        <bottom/>
        <vertical/>
        <horizontal/>
      </border>
    </dxf>
    <dxf>
      <font>
        <b/>
        <strike val="0"/>
        <outline val="0"/>
        <shadow val="0"/>
        <u val="none"/>
        <vertAlign val="baseline"/>
        <sz val="8"/>
        <color theme="0" tint="-4.9989318521683403E-2"/>
        <name val="Aptos Narrow"/>
        <family val="2"/>
        <scheme val="minor"/>
      </font>
      <fill>
        <patternFill patternType="solid">
          <fgColor indexed="64"/>
          <bgColor rgb="FF353B50"/>
        </patternFill>
      </fill>
      <alignment horizontal="left" vertical="bottom" textRotation="0" wrapText="0" indent="0" justifyLastLine="0" shrinkToFit="0" readingOrder="0"/>
    </dxf>
    <dxf>
      <border>
        <bottom style="thin">
          <color rgb="FF353B50"/>
        </bottom>
      </border>
    </dxf>
    <dxf>
      <font>
        <strike val="0"/>
        <outline val="0"/>
        <shadow val="0"/>
        <u val="none"/>
        <vertAlign val="baseline"/>
        <sz val="9"/>
        <color theme="5" tint="0.39997558519241921"/>
        <name val="Aptos Narrow"/>
        <family val="2"/>
        <scheme val="minor"/>
      </font>
      <fill>
        <patternFill patternType="solid">
          <fgColor indexed="64"/>
          <bgColor rgb="FF353B50"/>
        </patternFill>
      </fill>
      <alignment horizontal="center" vertical="center" textRotation="0" wrapText="0" indent="0" justifyLastLine="0" shrinkToFit="0" readingOrder="0"/>
      <border diagonalUp="0" diagonalDown="0" outline="0">
        <left/>
        <right/>
        <top/>
        <bottom/>
      </border>
    </dxf>
    <dxf>
      <font>
        <b/>
        <strike val="0"/>
        <outline val="0"/>
        <shadow val="0"/>
        <u val="none"/>
        <vertAlign val="baseline"/>
        <sz val="8"/>
        <color theme="0" tint="-4.9989318521683403E-2"/>
        <name val="Aptos Narrow"/>
        <family val="2"/>
        <scheme val="minor"/>
      </font>
      <fill>
        <patternFill patternType="solid">
          <fgColor indexed="64"/>
          <bgColor rgb="FF353B50"/>
        </patternFill>
      </fill>
      <alignment horizontal="center" vertical="center" textRotation="0" wrapText="0" indent="0" justifyLastLine="0" shrinkToFit="0" readingOrder="0"/>
      <border diagonalUp="0" diagonalDown="0">
        <left style="thin">
          <color rgb="FF353B50"/>
        </left>
        <right style="thin">
          <color rgb="FFF4FAEA"/>
        </right>
        <top/>
        <bottom/>
        <vertical/>
        <horizontal/>
      </border>
    </dxf>
    <dxf>
      <font>
        <b/>
        <strike val="0"/>
        <outline val="0"/>
        <shadow val="0"/>
        <u val="none"/>
        <vertAlign val="baseline"/>
        <sz val="8"/>
        <color theme="0" tint="-4.9989318521683403E-2"/>
        <name val="Aptos Narrow"/>
        <family val="2"/>
        <scheme val="minor"/>
      </font>
      <fill>
        <patternFill patternType="solid">
          <fgColor indexed="64"/>
          <bgColor rgb="FF353B50"/>
        </patternFill>
      </fill>
      <alignment horizontal="left" vertical="center" textRotation="0" wrapText="0" indent="0" justifyLastLine="0" shrinkToFit="0" readingOrder="0"/>
      <border diagonalUp="0" diagonalDown="0">
        <left style="thin">
          <color rgb="FFF4FAEA"/>
        </left>
        <right style="thin">
          <color rgb="FF353B50"/>
        </right>
        <top/>
        <bottom/>
        <vertical style="thin">
          <color rgb="FFF4FAEA"/>
        </vertical>
        <horizontal/>
      </border>
    </dxf>
    <dxf>
      <font>
        <b/>
        <strike val="0"/>
        <outline val="0"/>
        <shadow val="0"/>
        <u val="none"/>
        <vertAlign val="baseline"/>
        <sz val="8"/>
        <color theme="0" tint="-4.9989318521683403E-2"/>
        <name val="Aptos Narrow"/>
        <family val="2"/>
        <scheme val="minor"/>
      </font>
      <fill>
        <patternFill patternType="solid">
          <fgColor indexed="64"/>
          <bgColor rgb="FF353B50"/>
        </patternFill>
      </fill>
      <alignment horizontal="left" vertical="center" textRotation="0" wrapText="0" indent="0" justifyLastLine="0" shrinkToFit="0" readingOrder="0"/>
      <border diagonalUp="0" diagonalDown="0">
        <left style="thin">
          <color rgb="FF353B50"/>
        </left>
        <right style="thin">
          <color rgb="FF353B50"/>
        </right>
        <top/>
        <bottom/>
        <vertical/>
        <horizontal/>
      </border>
    </dxf>
    <dxf>
      <font>
        <b/>
        <strike val="0"/>
        <outline val="0"/>
        <shadow val="0"/>
        <u val="none"/>
        <vertAlign val="baseline"/>
        <sz val="8"/>
        <color theme="0" tint="-4.9989318521683403E-2"/>
        <name val="Aptos Narrow"/>
        <family val="2"/>
        <scheme val="minor"/>
      </font>
      <fill>
        <patternFill patternType="solid">
          <fgColor indexed="64"/>
          <bgColor rgb="FF353B50"/>
        </patternFill>
      </fill>
      <alignment horizontal="left" vertical="bottom" textRotation="0" wrapText="0" indent="0" justifyLastLine="0" shrinkToFit="0" readingOrder="0"/>
    </dxf>
    <dxf>
      <font>
        <b/>
        <i val="0"/>
        <strike val="0"/>
        <outline val="0"/>
        <shadow val="0"/>
        <u val="none"/>
        <vertAlign val="baseline"/>
        <sz val="9"/>
        <color theme="5" tint="0.39997558519241921"/>
        <name val="Aptos Narrow"/>
        <family val="2"/>
        <scheme val="minor"/>
      </font>
      <fill>
        <patternFill patternType="solid">
          <fgColor indexed="64"/>
          <bgColor rgb="FF353B50"/>
        </patternFill>
      </fill>
      <alignment horizontal="center" vertical="center" textRotation="0" wrapText="0" indent="0" justifyLastLine="0" shrinkToFit="0" readingOrder="0"/>
    </dxf>
    <dxf>
      <font>
        <b/>
        <i val="0"/>
        <sz val="8"/>
        <color theme="9" tint="0.59996337778862885"/>
        <name val="Abadi"/>
        <family val="2"/>
        <scheme val="none"/>
      </font>
      <fill>
        <patternFill>
          <bgColor rgb="FF353B50"/>
        </patternFill>
      </fill>
      <border>
        <left style="thin">
          <color rgb="FFF4FAEA"/>
        </left>
        <right style="thin">
          <color rgb="FFF4FAEA"/>
        </right>
        <top style="thin">
          <color rgb="FFF4FAEA"/>
        </top>
        <bottom style="thin">
          <color rgb="FFF4FAEA"/>
        </bottom>
      </border>
    </dxf>
    <dxf>
      <font>
        <b/>
        <i val="0"/>
        <sz val="9"/>
        <color theme="0" tint="-4.9989318521683403E-2"/>
      </font>
      <fill>
        <patternFill>
          <bgColor rgb="FF353B50"/>
        </patternFill>
      </fill>
      <border>
        <left style="thin">
          <color rgb="FFF4FAEA"/>
        </left>
        <right style="thin">
          <color rgb="FFF4FAEA"/>
        </right>
        <top style="thin">
          <color rgb="FFF4FAEA"/>
        </top>
        <bottom style="thin">
          <color rgb="FFF4FAEA"/>
        </bottom>
      </border>
    </dxf>
  </dxfs>
  <tableStyles count="1" defaultTableStyle="TableStyleMedium2" defaultPivotStyle="PivotStyleLight16">
    <tableStyle name="Slicer Style 1" pivot="0" table="0" count="3" xr9:uid="{F0200535-9E7A-464F-814E-C98D037B16DD}">
      <tableStyleElement type="wholeTable" dxfId="12"/>
      <tableStyleElement type="headerRow" dxfId="11"/>
    </tableStyle>
  </tableStyles>
  <colors>
    <mruColors>
      <color rgb="FF353B50"/>
      <color rgb="FF292F42"/>
      <color rgb="FFFF0066"/>
      <color rgb="FFD60000"/>
      <color rgb="FFF4FAEA"/>
      <color rgb="FFBC8F00"/>
      <color rgb="FF000000"/>
    </mruColors>
  </colors>
  <extLst>
    <ext xmlns:x14="http://schemas.microsoft.com/office/spreadsheetml/2009/9/main" uri="{46F421CA-312F-682f-3DD2-61675219B42D}">
      <x14:dxfs count="1">
        <dxf>
          <fill>
            <patternFill>
              <bgColor theme="3" tint="0.24994659260841701"/>
            </patternFill>
          </fill>
          <border diagonalUp="0" diagonalDown="0">
            <left style="thin">
              <color rgb="FF292F42"/>
            </left>
            <right style="thin">
              <color rgb="FF292F42"/>
            </right>
            <top style="thin">
              <color rgb="FF292F42"/>
            </top>
            <bottom style="thin">
              <color rgb="FF292F42"/>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2.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84" Type="http://schemas.openxmlformats.org/officeDocument/2006/relationships/customXml" Target="../customXml/item54.xml"/><Relationship Id="rId89" Type="http://schemas.openxmlformats.org/officeDocument/2006/relationships/customXml" Target="../customXml/item59.xml"/><Relationship Id="rId16" Type="http://schemas.openxmlformats.org/officeDocument/2006/relationships/pivotCacheDefinition" Target="pivotCache/pivotCacheDefinition13.xml"/><Relationship Id="rId11" Type="http://schemas.openxmlformats.org/officeDocument/2006/relationships/pivotCacheDefinition" Target="pivotCache/pivotCacheDefinition8.xml"/><Relationship Id="rId32" Type="http://schemas.openxmlformats.org/officeDocument/2006/relationships/customXml" Target="../customXml/item2.xml"/><Relationship Id="rId37" Type="http://schemas.openxmlformats.org/officeDocument/2006/relationships/customXml" Target="../customXml/item7.xml"/><Relationship Id="rId53" Type="http://schemas.openxmlformats.org/officeDocument/2006/relationships/customXml" Target="../customXml/item23.xml"/><Relationship Id="rId58" Type="http://schemas.openxmlformats.org/officeDocument/2006/relationships/customXml" Target="../customXml/item28.xml"/><Relationship Id="rId74" Type="http://schemas.openxmlformats.org/officeDocument/2006/relationships/customXml" Target="../customXml/item44.xml"/><Relationship Id="rId79" Type="http://schemas.openxmlformats.org/officeDocument/2006/relationships/customXml" Target="../customXml/item49.xml"/><Relationship Id="rId5" Type="http://schemas.openxmlformats.org/officeDocument/2006/relationships/pivotCacheDefinition" Target="pivotCache/pivotCacheDefinition2.xml"/><Relationship Id="rId90" Type="http://schemas.openxmlformats.org/officeDocument/2006/relationships/customXml" Target="../customXml/item60.xml"/><Relationship Id="rId14" Type="http://schemas.openxmlformats.org/officeDocument/2006/relationships/pivotCacheDefinition" Target="pivotCache/pivotCacheDefinition11.xml"/><Relationship Id="rId22" Type="http://schemas.microsoft.com/office/2007/relationships/slicerCache" Target="slicerCaches/slicerCache3.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77" Type="http://schemas.openxmlformats.org/officeDocument/2006/relationships/customXml" Target="../customXml/item47.xml"/><Relationship Id="rId8" Type="http://schemas.openxmlformats.org/officeDocument/2006/relationships/pivotCacheDefinition" Target="pivotCache/pivotCacheDefinition5.xml"/><Relationship Id="rId51" Type="http://schemas.openxmlformats.org/officeDocument/2006/relationships/customXml" Target="../customXml/item21.xml"/><Relationship Id="rId72" Type="http://schemas.openxmlformats.org/officeDocument/2006/relationships/customXml" Target="../customXml/item42.xml"/><Relationship Id="rId80" Type="http://schemas.openxmlformats.org/officeDocument/2006/relationships/customXml" Target="../customXml/item50.xml"/><Relationship Id="rId85" Type="http://schemas.openxmlformats.org/officeDocument/2006/relationships/customXml" Target="../customXml/item55.xml"/><Relationship Id="rId3" Type="http://schemas.openxmlformats.org/officeDocument/2006/relationships/worksheet" Target="worksheets/sheet3.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microsoft.com/office/2007/relationships/slicerCache" Target="slicerCaches/slicerCache1.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70" Type="http://schemas.openxmlformats.org/officeDocument/2006/relationships/customXml" Target="../customXml/item40.xml"/><Relationship Id="rId75" Type="http://schemas.openxmlformats.org/officeDocument/2006/relationships/customXml" Target="../customXml/item45.xml"/><Relationship Id="rId83" Type="http://schemas.openxmlformats.org/officeDocument/2006/relationships/customXml" Target="../customXml/item53.xml"/><Relationship Id="rId88" Type="http://schemas.openxmlformats.org/officeDocument/2006/relationships/customXml" Target="../customXml/item58.xml"/><Relationship Id="rId91" Type="http://schemas.openxmlformats.org/officeDocument/2006/relationships/customXml" Target="../customXml/item6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microsoft.com/office/2007/relationships/slicerCache" Target="slicerCaches/slicerCache4.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7.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73" Type="http://schemas.openxmlformats.org/officeDocument/2006/relationships/customXml" Target="../customXml/item43.xml"/><Relationship Id="rId78" Type="http://schemas.openxmlformats.org/officeDocument/2006/relationships/customXml" Target="../customXml/item48.xml"/><Relationship Id="rId81" Type="http://schemas.openxmlformats.org/officeDocument/2006/relationships/customXml" Target="../customXml/item51.xml"/><Relationship Id="rId86" Type="http://schemas.openxmlformats.org/officeDocument/2006/relationships/customXml" Target="../customXml/item5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 Id="rId76" Type="http://schemas.openxmlformats.org/officeDocument/2006/relationships/customXml" Target="../customXml/item46.xml"/><Relationship Id="rId7" Type="http://schemas.openxmlformats.org/officeDocument/2006/relationships/pivotCacheDefinition" Target="pivotCache/pivotCacheDefinition4.xml"/><Relationship Id="rId71" Type="http://schemas.openxmlformats.org/officeDocument/2006/relationships/customXml" Target="../customXml/item41.xml"/><Relationship Id="rId92" Type="http://schemas.openxmlformats.org/officeDocument/2006/relationships/customXml" Target="../customXml/item62.xml"/><Relationship Id="rId2" Type="http://schemas.openxmlformats.org/officeDocument/2006/relationships/worksheet" Target="worksheets/sheet2.xml"/><Relationship Id="rId29" Type="http://schemas.openxmlformats.org/officeDocument/2006/relationships/powerPivotData" Target="model/item.data"/><Relationship Id="rId24" Type="http://schemas.openxmlformats.org/officeDocument/2006/relationships/theme" Target="theme/theme1.xml"/><Relationship Id="rId40" Type="http://schemas.openxmlformats.org/officeDocument/2006/relationships/customXml" Target="../customXml/item10.xml"/><Relationship Id="rId45" Type="http://schemas.openxmlformats.org/officeDocument/2006/relationships/customXml" Target="../customXml/item15.xml"/><Relationship Id="rId66" Type="http://schemas.openxmlformats.org/officeDocument/2006/relationships/customXml" Target="../customXml/item36.xml"/><Relationship Id="rId87" Type="http://schemas.openxmlformats.org/officeDocument/2006/relationships/customXml" Target="../customXml/item57.xml"/><Relationship Id="rId61" Type="http://schemas.openxmlformats.org/officeDocument/2006/relationships/customXml" Target="../customXml/item31.xml"/><Relationship Id="rId82" Type="http://schemas.openxmlformats.org/officeDocument/2006/relationships/customXml" Target="../customXml/item52.xml"/><Relationship Id="rId19" Type="http://schemas.openxmlformats.org/officeDocument/2006/relationships/pivotCacheDefinition" Target="pivotCache/pivotCacheDefinition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ctr" rtl="0">
              <a:defRPr lang="en-US" sz="1050" b="1" i="0" u="none" strike="noStrike" kern="1200" spc="100" baseline="0">
                <a:solidFill>
                  <a:schemeClr val="accent6">
                    <a:lumMod val="40000"/>
                    <a:lumOff val="60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r>
              <a:rPr lang="en-US" sz="1050" b="1" i="0" u="none" strike="noStrike" kern="1200" baseline="0">
                <a:solidFill>
                  <a:schemeClr val="accent6">
                    <a:lumMod val="40000"/>
                    <a:lumOff val="60000"/>
                  </a:schemeClr>
                </a:solidFill>
                <a:latin typeface="Arial Black" panose="020B0A04020102020204" pitchFamily="34" charset="0"/>
                <a:ea typeface="+mn-ea"/>
                <a:cs typeface="+mn-cs"/>
              </a:rPr>
              <a:t>Avg Price and Horsepower by Company</a:t>
            </a:r>
          </a:p>
        </c:rich>
      </c:tx>
      <c:overlay val="0"/>
      <c:spPr>
        <a:noFill/>
        <a:ln>
          <a:noFill/>
        </a:ln>
        <a:effectLst/>
      </c:spPr>
      <c:txPr>
        <a:bodyPr rot="0" spcFirstLastPara="1" vertOverflow="ellipsis" vert="horz" wrap="square" anchor="ctr" anchorCtr="1"/>
        <a:lstStyle/>
        <a:p>
          <a:pPr algn="ctr" rtl="0">
            <a:defRPr lang="en-US" sz="1050" b="1" i="0" u="none" strike="noStrike" kern="1200" spc="100" baseline="0">
              <a:solidFill>
                <a:schemeClr val="accent6">
                  <a:lumMod val="40000"/>
                  <a:lumOff val="60000"/>
                </a:schemeClr>
              </a:solidFill>
              <a:effectLst>
                <a:outerShdw blurRad="50800" dist="38100" dir="5400000" algn="t" rotWithShape="0">
                  <a:prstClr val="black">
                    <a:alpha val="40000"/>
                  </a:prstClr>
                </a:outerShdw>
              </a:effectLst>
              <a:latin typeface="Arial Black" panose="020B0A04020102020204" pitchFamily="34" charset="0"/>
              <a:ea typeface="+mn-ea"/>
              <a:cs typeface="+mn-cs"/>
            </a:defRPr>
          </a:pPr>
          <a:endParaRPr lang="en-US"/>
        </a:p>
      </c:txPr>
    </c:title>
    <c:autoTitleDeleted val="0"/>
    <c:plotArea>
      <c:layout>
        <c:manualLayout>
          <c:layoutTarget val="inner"/>
          <c:xMode val="edge"/>
          <c:yMode val="edge"/>
          <c:x val="8.8378568600712623E-2"/>
          <c:y val="0.11853014712671078"/>
          <c:w val="0.85547415268743576"/>
          <c:h val="0.61359891306292269"/>
        </c:manualLayout>
      </c:layout>
      <c:barChart>
        <c:barDir val="col"/>
        <c:grouping val="clustered"/>
        <c:varyColors val="0"/>
        <c:ser>
          <c:idx val="0"/>
          <c:order val="0"/>
          <c:tx>
            <c:strRef>
              <c:f>piv.tables!$T$1</c:f>
              <c:strCache>
                <c:ptCount val="1"/>
                <c:pt idx="0">
                  <c:v>AVG price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piv.tables!$S$2:$S$32</c:f>
              <c:strCache>
                <c:ptCount val="31"/>
                <c:pt idx="0">
                  <c:v>bugatti</c:v>
                </c:pt>
                <c:pt idx="1">
                  <c:v>aston martin</c:v>
                </c:pt>
                <c:pt idx="2">
                  <c:v>lamborghini</c:v>
                </c:pt>
                <c:pt idx="3">
                  <c:v>ferrari</c:v>
                </c:pt>
                <c:pt idx="4">
                  <c:v>rolls royce</c:v>
                </c:pt>
                <c:pt idx="5">
                  <c:v>bentley</c:v>
                </c:pt>
                <c:pt idx="6">
                  <c:v>porsche</c:v>
                </c:pt>
                <c:pt idx="7">
                  <c:v>mazda</c:v>
                </c:pt>
                <c:pt idx="8">
                  <c:v>volvo</c:v>
                </c:pt>
                <c:pt idx="9">
                  <c:v>tesla</c:v>
                </c:pt>
                <c:pt idx="10">
                  <c:v>mercedes</c:v>
                </c:pt>
                <c:pt idx="11">
                  <c:v>audi</c:v>
                </c:pt>
                <c:pt idx="12">
                  <c:v>jaguar land rover</c:v>
                </c:pt>
                <c:pt idx="13">
                  <c:v>bmw</c:v>
                </c:pt>
                <c:pt idx="14">
                  <c:v>gmc</c:v>
                </c:pt>
                <c:pt idx="15">
                  <c:v>acura</c:v>
                </c:pt>
                <c:pt idx="16">
                  <c:v>cadillac</c:v>
                </c:pt>
                <c:pt idx="17">
                  <c:v>nissan</c:v>
                </c:pt>
                <c:pt idx="18">
                  <c:v>jeep</c:v>
                </c:pt>
                <c:pt idx="19">
                  <c:v>ford</c:v>
                </c:pt>
                <c:pt idx="20">
                  <c:v>chevrolet</c:v>
                </c:pt>
                <c:pt idx="21">
                  <c:v>toyota</c:v>
                </c:pt>
                <c:pt idx="22">
                  <c:v>kia</c:v>
                </c:pt>
                <c:pt idx="23">
                  <c:v>volkswagen</c:v>
                </c:pt>
                <c:pt idx="24">
                  <c:v>peugeot</c:v>
                </c:pt>
                <c:pt idx="25">
                  <c:v>hyundai</c:v>
                </c:pt>
                <c:pt idx="26">
                  <c:v>mitsubishi</c:v>
                </c:pt>
                <c:pt idx="27">
                  <c:v>honda</c:v>
                </c:pt>
                <c:pt idx="28">
                  <c:v>mahindra</c:v>
                </c:pt>
                <c:pt idx="29">
                  <c:v>tata motors</c:v>
                </c:pt>
                <c:pt idx="30">
                  <c:v>maruti suzuki</c:v>
                </c:pt>
              </c:strCache>
            </c:strRef>
          </c:cat>
          <c:val>
            <c:numRef>
              <c:f>piv.tables!$T$2:$T$32</c:f>
              <c:numCache>
                <c:formatCode>General</c:formatCode>
                <c:ptCount val="31"/>
                <c:pt idx="0">
                  <c:v>5870000</c:v>
                </c:pt>
                <c:pt idx="1">
                  <c:v>752949.09090909094</c:v>
                </c:pt>
                <c:pt idx="2">
                  <c:v>650083.33333333337</c:v>
                </c:pt>
                <c:pt idx="3">
                  <c:v>512222.22222222225</c:v>
                </c:pt>
                <c:pt idx="4">
                  <c:v>390400</c:v>
                </c:pt>
                <c:pt idx="5">
                  <c:v>311000</c:v>
                </c:pt>
                <c:pt idx="6">
                  <c:v>138389.58333333334</c:v>
                </c:pt>
                <c:pt idx="7">
                  <c:v>90594.344444444447</c:v>
                </c:pt>
                <c:pt idx="8">
                  <c:v>89333.333333333328</c:v>
                </c:pt>
                <c:pt idx="9">
                  <c:v>87032</c:v>
                </c:pt>
                <c:pt idx="10">
                  <c:v>84190.476190476184</c:v>
                </c:pt>
                <c:pt idx="11">
                  <c:v>82870.952380952382</c:v>
                </c:pt>
                <c:pt idx="12">
                  <c:v>70400</c:v>
                </c:pt>
                <c:pt idx="13">
                  <c:v>67317.073170731703</c:v>
                </c:pt>
                <c:pt idx="14">
                  <c:v>63293.47457627119</c:v>
                </c:pt>
                <c:pt idx="15">
                  <c:v>63259.259259259263</c:v>
                </c:pt>
                <c:pt idx="16">
                  <c:v>62178.5</c:v>
                </c:pt>
                <c:pt idx="17">
                  <c:v>59194.591194968554</c:v>
                </c:pt>
                <c:pt idx="18">
                  <c:v>51439.210526315786</c:v>
                </c:pt>
                <c:pt idx="19">
                  <c:v>50150.915492957749</c:v>
                </c:pt>
                <c:pt idx="20">
                  <c:v>44816.964285714283</c:v>
                </c:pt>
                <c:pt idx="21">
                  <c:v>40998.6875</c:v>
                </c:pt>
                <c:pt idx="22">
                  <c:v>36131.57894736842</c:v>
                </c:pt>
                <c:pt idx="23">
                  <c:v>35551.31736526946</c:v>
                </c:pt>
                <c:pt idx="24">
                  <c:v>35416.666666666664</c:v>
                </c:pt>
                <c:pt idx="25">
                  <c:v>30112.46875</c:v>
                </c:pt>
                <c:pt idx="26">
                  <c:v>28820.3125</c:v>
                </c:pt>
                <c:pt idx="27">
                  <c:v>27883.333333333332</c:v>
                </c:pt>
                <c:pt idx="28">
                  <c:v>18900</c:v>
                </c:pt>
                <c:pt idx="29">
                  <c:v>12129.411764705883</c:v>
                </c:pt>
                <c:pt idx="30">
                  <c:v>11900</c:v>
                </c:pt>
              </c:numCache>
            </c:numRef>
          </c:val>
          <c:extLst>
            <c:ext xmlns:c16="http://schemas.microsoft.com/office/drawing/2014/chart" uri="{C3380CC4-5D6E-409C-BE32-E72D297353CC}">
              <c16:uniqueId val="{00000000-69FB-4FA9-BA73-39C58D743BA5}"/>
            </c:ext>
          </c:extLst>
        </c:ser>
        <c:dLbls>
          <c:showLegendKey val="0"/>
          <c:showVal val="0"/>
          <c:showCatName val="0"/>
          <c:showSerName val="0"/>
          <c:showPercent val="0"/>
          <c:showBubbleSize val="0"/>
        </c:dLbls>
        <c:gapWidth val="150"/>
        <c:axId val="2050849536"/>
        <c:axId val="2050842816"/>
      </c:barChart>
      <c:lineChart>
        <c:grouping val="standard"/>
        <c:varyColors val="0"/>
        <c:ser>
          <c:idx val="1"/>
          <c:order val="1"/>
          <c:tx>
            <c:strRef>
              <c:f>piv.tables!$U$1</c:f>
              <c:strCache>
                <c:ptCount val="1"/>
                <c:pt idx="0">
                  <c:v>AVG hourse power</c:v>
                </c:pt>
              </c:strCache>
            </c:strRef>
          </c:tx>
          <c:spPr>
            <a:ln w="25400" cap="rnd">
              <a:solidFill>
                <a:schemeClr val="accent4"/>
              </a:solidFill>
              <a:round/>
            </a:ln>
            <a:effectLst>
              <a:outerShdw blurRad="57150" dist="19050" dir="5400000" algn="ctr" rotWithShape="0">
                <a:srgbClr val="000000">
                  <a:alpha val="63000"/>
                </a:srgbClr>
              </a:outerShdw>
            </a:effectLst>
          </c:spPr>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Pt>
            <c:idx val="10"/>
            <c:marker>
              <c:symbol val="circle"/>
              <c:size val="5"/>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r="5400000" sx="1000" sy="1000" algn="ctr" rotWithShape="0">
                    <a:srgbClr val="000000">
                      <a:alpha val="63000"/>
                    </a:srgbClr>
                  </a:outerShdw>
                </a:effectLst>
              </c:spPr>
            </c:marker>
            <c:bubble3D val="0"/>
            <c:spPr>
              <a:ln w="25400" cap="rnd">
                <a:solidFill>
                  <a:schemeClr val="accent4"/>
                </a:solidFill>
                <a:round/>
              </a:ln>
              <a:effectLst>
                <a:outerShdw blurRad="57150" dir="5400000" sx="1000" sy="1000" algn="ctr" rotWithShape="0">
                  <a:srgbClr val="000000">
                    <a:alpha val="63000"/>
                  </a:srgbClr>
                </a:outerShdw>
              </a:effectLst>
            </c:spPr>
            <c:extLst>
              <c:ext xmlns:c16="http://schemas.microsoft.com/office/drawing/2014/chart" uri="{C3380CC4-5D6E-409C-BE32-E72D297353CC}">
                <c16:uniqueId val="{00000000-EF75-4CBE-81EB-6CBF0BD030E6}"/>
              </c:ext>
            </c:extLst>
          </c:dPt>
          <c:cat>
            <c:strRef>
              <c:f>piv.tables!$S$2:$S$32</c:f>
              <c:strCache>
                <c:ptCount val="31"/>
                <c:pt idx="0">
                  <c:v>bugatti</c:v>
                </c:pt>
                <c:pt idx="1">
                  <c:v>aston martin</c:v>
                </c:pt>
                <c:pt idx="2">
                  <c:v>lamborghini</c:v>
                </c:pt>
                <c:pt idx="3">
                  <c:v>ferrari</c:v>
                </c:pt>
                <c:pt idx="4">
                  <c:v>rolls royce</c:v>
                </c:pt>
                <c:pt idx="5">
                  <c:v>bentley</c:v>
                </c:pt>
                <c:pt idx="6">
                  <c:v>porsche</c:v>
                </c:pt>
                <c:pt idx="7">
                  <c:v>mazda</c:v>
                </c:pt>
                <c:pt idx="8">
                  <c:v>volvo</c:v>
                </c:pt>
                <c:pt idx="9">
                  <c:v>tesla</c:v>
                </c:pt>
                <c:pt idx="10">
                  <c:v>mercedes</c:v>
                </c:pt>
                <c:pt idx="11">
                  <c:v>audi</c:v>
                </c:pt>
                <c:pt idx="12">
                  <c:v>jaguar land rover</c:v>
                </c:pt>
                <c:pt idx="13">
                  <c:v>bmw</c:v>
                </c:pt>
                <c:pt idx="14">
                  <c:v>gmc</c:v>
                </c:pt>
                <c:pt idx="15">
                  <c:v>acura</c:v>
                </c:pt>
                <c:pt idx="16">
                  <c:v>cadillac</c:v>
                </c:pt>
                <c:pt idx="17">
                  <c:v>nissan</c:v>
                </c:pt>
                <c:pt idx="18">
                  <c:v>jeep</c:v>
                </c:pt>
                <c:pt idx="19">
                  <c:v>ford</c:v>
                </c:pt>
                <c:pt idx="20">
                  <c:v>chevrolet</c:v>
                </c:pt>
                <c:pt idx="21">
                  <c:v>toyota</c:v>
                </c:pt>
                <c:pt idx="22">
                  <c:v>kia</c:v>
                </c:pt>
                <c:pt idx="23">
                  <c:v>volkswagen</c:v>
                </c:pt>
                <c:pt idx="24">
                  <c:v>peugeot</c:v>
                </c:pt>
                <c:pt idx="25">
                  <c:v>hyundai</c:v>
                </c:pt>
                <c:pt idx="26">
                  <c:v>mitsubishi</c:v>
                </c:pt>
                <c:pt idx="27">
                  <c:v>honda</c:v>
                </c:pt>
                <c:pt idx="28">
                  <c:v>mahindra</c:v>
                </c:pt>
                <c:pt idx="29">
                  <c:v>tata motors</c:v>
                </c:pt>
                <c:pt idx="30">
                  <c:v>maruti suzuki</c:v>
                </c:pt>
              </c:strCache>
            </c:strRef>
          </c:cat>
          <c:val>
            <c:numRef>
              <c:f>piv.tables!$U$2:$U$32</c:f>
              <c:numCache>
                <c:formatCode>General</c:formatCode>
                <c:ptCount val="31"/>
                <c:pt idx="0">
                  <c:v>1565</c:v>
                </c:pt>
                <c:pt idx="1">
                  <c:v>701.09090909090912</c:v>
                </c:pt>
                <c:pt idx="2">
                  <c:v>691.54166666666663</c:v>
                </c:pt>
                <c:pt idx="3">
                  <c:v>709.88888888888891</c:v>
                </c:pt>
                <c:pt idx="4">
                  <c:v>584</c:v>
                </c:pt>
                <c:pt idx="5">
                  <c:v>550</c:v>
                </c:pt>
                <c:pt idx="6">
                  <c:v>463.26041666666669</c:v>
                </c:pt>
                <c:pt idx="7">
                  <c:v>156.72222222222223</c:v>
                </c:pt>
                <c:pt idx="8">
                  <c:v>379.2</c:v>
                </c:pt>
                <c:pt idx="9">
                  <c:v>693.1</c:v>
                </c:pt>
                <c:pt idx="10">
                  <c:v>432.85714285714283</c:v>
                </c:pt>
                <c:pt idx="11">
                  <c:v>393.1904761904762</c:v>
                </c:pt>
                <c:pt idx="12">
                  <c:v>348.12</c:v>
                </c:pt>
                <c:pt idx="13">
                  <c:v>274.53658536585368</c:v>
                </c:pt>
                <c:pt idx="14">
                  <c:v>398.54237288135596</c:v>
                </c:pt>
                <c:pt idx="15">
                  <c:v>311.03703703703701</c:v>
                </c:pt>
                <c:pt idx="16">
                  <c:v>368.4</c:v>
                </c:pt>
                <c:pt idx="17">
                  <c:v>245.33962264150944</c:v>
                </c:pt>
                <c:pt idx="18">
                  <c:v>318.89473684210526</c:v>
                </c:pt>
                <c:pt idx="19">
                  <c:v>308.26760563380282</c:v>
                </c:pt>
                <c:pt idx="20">
                  <c:v>303.71428571428572</c:v>
                </c:pt>
                <c:pt idx="21">
                  <c:v>231.078125</c:v>
                </c:pt>
                <c:pt idx="22">
                  <c:v>217.52631578947367</c:v>
                </c:pt>
                <c:pt idx="23">
                  <c:v>187.69461077844312</c:v>
                </c:pt>
                <c:pt idx="24">
                  <c:v>180.12962962962962</c:v>
                </c:pt>
                <c:pt idx="25">
                  <c:v>193.375</c:v>
                </c:pt>
                <c:pt idx="26">
                  <c:v>148.078125</c:v>
                </c:pt>
                <c:pt idx="27">
                  <c:v>194.22222222222223</c:v>
                </c:pt>
                <c:pt idx="28">
                  <c:v>148.75</c:v>
                </c:pt>
                <c:pt idx="29">
                  <c:v>95.529411764705884</c:v>
                </c:pt>
                <c:pt idx="30">
                  <c:v>88</c:v>
                </c:pt>
              </c:numCache>
            </c:numRef>
          </c:val>
          <c:smooth val="0"/>
          <c:extLst>
            <c:ext xmlns:c16="http://schemas.microsoft.com/office/drawing/2014/chart" uri="{C3380CC4-5D6E-409C-BE32-E72D297353CC}">
              <c16:uniqueId val="{00000001-69FB-4FA9-BA73-39C58D743BA5}"/>
            </c:ext>
          </c:extLst>
        </c:ser>
        <c:dLbls>
          <c:showLegendKey val="0"/>
          <c:showVal val="0"/>
          <c:showCatName val="0"/>
          <c:showSerName val="0"/>
          <c:showPercent val="0"/>
          <c:showBubbleSize val="0"/>
        </c:dLbls>
        <c:marker val="1"/>
        <c:smooth val="0"/>
        <c:axId val="1088364671"/>
        <c:axId val="1088376671"/>
      </c:lineChart>
      <c:catAx>
        <c:axId val="20508495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5400000" spcFirstLastPara="1" vertOverflow="ellipsis" wrap="square" anchor="ctr" anchorCtr="1"/>
          <a:lstStyle/>
          <a:p>
            <a:pPr>
              <a:defRPr sz="700" b="0" i="0" u="none" strike="noStrike" kern="1200" baseline="0">
                <a:solidFill>
                  <a:schemeClr val="bg1">
                    <a:lumMod val="95000"/>
                  </a:schemeClr>
                </a:solidFill>
                <a:latin typeface="+mn-lt"/>
                <a:ea typeface="+mn-ea"/>
                <a:cs typeface="+mn-cs"/>
              </a:defRPr>
            </a:pPr>
            <a:endParaRPr lang="en-US"/>
          </a:p>
        </c:txPr>
        <c:crossAx val="2050842816"/>
        <c:crosses val="autoZero"/>
        <c:auto val="1"/>
        <c:lblAlgn val="ctr"/>
        <c:lblOffset val="100"/>
        <c:noMultiLvlLbl val="0"/>
      </c:catAx>
      <c:valAx>
        <c:axId val="2050842816"/>
        <c:scaling>
          <c:orientation val="minMax"/>
          <c:max val="805000"/>
          <c:min val="5000"/>
        </c:scaling>
        <c:delete val="0"/>
        <c:axPos val="l"/>
        <c:majorGridlines>
          <c:spPr>
            <a:ln w="9525" cap="flat" cmpd="sng" algn="ctr">
              <a:solidFill>
                <a:schemeClr val="lt1">
                  <a:lumMod val="95000"/>
                  <a:alpha val="10000"/>
                </a:schemeClr>
              </a:solidFill>
              <a:round/>
            </a:ln>
            <a:effectLst/>
          </c:spPr>
        </c:majorGridlines>
        <c:numFmt formatCode="&quot;$&quot;#,\ \k" sourceLinked="0"/>
        <c:majorTickMark val="none"/>
        <c:minorTickMark val="none"/>
        <c:tickLblPos val="nextTo"/>
        <c:spPr>
          <a:noFill/>
          <a:ln>
            <a:noFill/>
          </a:ln>
          <a:effectLst/>
        </c:spPr>
        <c:txPr>
          <a:bodyPr rot="0" spcFirstLastPara="1" vertOverflow="ellipsis" wrap="square" anchor="ctr" anchorCtr="1"/>
          <a:lstStyle/>
          <a:p>
            <a:pPr>
              <a:defRPr sz="700" b="0" i="0" u="none" strike="noStrike" kern="1200" baseline="0">
                <a:solidFill>
                  <a:schemeClr val="bg1">
                    <a:lumMod val="95000"/>
                  </a:schemeClr>
                </a:solidFill>
                <a:latin typeface="+mn-lt"/>
                <a:ea typeface="+mn-ea"/>
                <a:cs typeface="+mn-cs"/>
              </a:defRPr>
            </a:pPr>
            <a:endParaRPr lang="en-US"/>
          </a:p>
        </c:txPr>
        <c:crossAx val="2050849536"/>
        <c:crossesAt val="0"/>
        <c:crossBetween val="between"/>
        <c:majorUnit val="80000"/>
      </c:valAx>
      <c:valAx>
        <c:axId val="1088376671"/>
        <c:scaling>
          <c:orientation val="minMax"/>
          <c:max val="750"/>
          <c:min val="50"/>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chemeClr val="bg1">
                    <a:lumMod val="95000"/>
                  </a:schemeClr>
                </a:solidFill>
                <a:latin typeface="+mn-lt"/>
                <a:ea typeface="+mn-ea"/>
                <a:cs typeface="+mn-cs"/>
              </a:defRPr>
            </a:pPr>
            <a:endParaRPr lang="en-US"/>
          </a:p>
        </c:txPr>
        <c:crossAx val="1088364671"/>
        <c:crosses val="max"/>
        <c:crossBetween val="between"/>
        <c:majorUnit val="50"/>
      </c:valAx>
      <c:catAx>
        <c:axId val="1088364671"/>
        <c:scaling>
          <c:orientation val="minMax"/>
        </c:scaling>
        <c:delete val="1"/>
        <c:axPos val="b"/>
        <c:numFmt formatCode="General" sourceLinked="1"/>
        <c:majorTickMark val="none"/>
        <c:minorTickMark val="none"/>
        <c:tickLblPos val="nextTo"/>
        <c:crossAx val="1088376671"/>
        <c:crosses val="autoZero"/>
        <c:auto val="1"/>
        <c:lblAlgn val="ctr"/>
        <c:lblOffset val="100"/>
        <c:noMultiLvlLbl val="0"/>
      </c:catAx>
      <c:spPr>
        <a:noFill/>
        <a:ln w="0">
          <a:solidFill>
            <a:schemeClr val="tx1">
              <a:lumMod val="95000"/>
              <a:lumOff val="5000"/>
              <a:alpha val="0"/>
            </a:schemeClr>
          </a:solidFill>
          <a:prstDash val="lgDashDot"/>
        </a:ln>
        <a:effectLst/>
      </c:spPr>
    </c:plotArea>
    <c:legend>
      <c:legendPos val="tr"/>
      <c:legendEntry>
        <c:idx val="0"/>
        <c:txPr>
          <a:bodyPr rot="0" spcFirstLastPara="1" vertOverflow="ellipsis" vert="horz" wrap="square" anchor="ctr" anchorCtr="1"/>
          <a:lstStyle/>
          <a:p>
            <a:pPr>
              <a:defRPr sz="700" b="0" i="0" u="none" strike="noStrike" kern="1200" baseline="0">
                <a:solidFill>
                  <a:schemeClr val="bg1">
                    <a:lumMod val="9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700" b="0" i="0" u="none" strike="noStrike" kern="1200" baseline="0">
                <a:solidFill>
                  <a:schemeClr val="bg1">
                    <a:lumMod val="95000"/>
                  </a:schemeClr>
                </a:solidFill>
                <a:latin typeface="+mn-lt"/>
                <a:ea typeface="+mn-ea"/>
                <a:cs typeface="+mn-cs"/>
              </a:defRPr>
            </a:pPr>
            <a:endParaRPr lang="en-US"/>
          </a:p>
        </c:txPr>
      </c:legendEntry>
      <c:layout>
        <c:manualLayout>
          <c:xMode val="edge"/>
          <c:yMode val="edge"/>
          <c:x val="0.7110154949786972"/>
          <c:y val="0.14522575980475208"/>
          <c:w val="0.23110336492995395"/>
          <c:h val="0.1886240628271606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53B50"/>
    </a:solidFill>
    <a:ln>
      <a:solidFill>
        <a:srgbClr val="F4FAEA"/>
      </a:solidFill>
    </a:ln>
    <a:effectLst/>
  </c:spPr>
  <c:txPr>
    <a:bodyPr/>
    <a:lstStyle/>
    <a:p>
      <a:pPr>
        <a:defRPr sz="700">
          <a:solidFill>
            <a:schemeClr val="bg1">
              <a:lumMod val="95000"/>
            </a:schemeClr>
          </a:solidFill>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[cars.xlsx]piv.tables!top10cars</c:name>
    <c:fmtId val="32"/>
  </c:pivotSource>
  <c:chart>
    <c:title>
      <c:tx>
        <c:rich>
          <a:bodyPr rot="0" spcFirstLastPara="1" vertOverflow="ellipsis" vert="horz" wrap="square" anchor="ctr" anchorCtr="1"/>
          <a:lstStyle/>
          <a:p>
            <a:pPr>
              <a:defRPr sz="1050" b="1" i="0" u="none" strike="noStrike" kern="1200" baseline="0">
                <a:solidFill>
                  <a:schemeClr val="accent6">
                    <a:lumMod val="40000"/>
                    <a:lumOff val="60000"/>
                  </a:schemeClr>
                </a:solidFill>
                <a:latin typeface="Arial Black" panose="020B0A04020102020204" pitchFamily="34" charset="0"/>
                <a:ea typeface="+mn-ea"/>
                <a:cs typeface="+mn-cs"/>
              </a:defRPr>
            </a:pPr>
            <a:r>
              <a:rPr lang="en-US" sz="1050">
                <a:solidFill>
                  <a:schemeClr val="accent6">
                    <a:lumMod val="40000"/>
                    <a:lumOff val="60000"/>
                  </a:schemeClr>
                </a:solidFill>
                <a:latin typeface="Arial Black" panose="020B0A04020102020204" pitchFamily="34" charset="0"/>
              </a:rPr>
              <a:t>Top </a:t>
            </a:r>
            <a:r>
              <a:rPr lang="en-US" sz="1050" b="1" i="0" u="none" strike="noStrike" kern="1200" baseline="0">
                <a:solidFill>
                  <a:schemeClr val="accent6">
                    <a:lumMod val="40000"/>
                    <a:lumOff val="60000"/>
                  </a:schemeClr>
                </a:solidFill>
                <a:latin typeface="Arial Black" panose="020B0A04020102020204" pitchFamily="34" charset="0"/>
                <a:ea typeface="+mn-ea"/>
                <a:cs typeface="+mn-cs"/>
              </a:rPr>
              <a:t>10</a:t>
            </a:r>
            <a:r>
              <a:rPr lang="en-US" sz="1050">
                <a:solidFill>
                  <a:schemeClr val="accent6">
                    <a:lumMod val="40000"/>
                    <a:lumOff val="60000"/>
                  </a:schemeClr>
                </a:solidFill>
                <a:latin typeface="Arial Black" panose="020B0A04020102020204" pitchFamily="34" charset="0"/>
              </a:rPr>
              <a:t> Cars by Price</a:t>
            </a:r>
          </a:p>
        </c:rich>
      </c:tx>
      <c:overlay val="0"/>
      <c:spPr>
        <a:noFill/>
        <a:ln>
          <a:noFill/>
        </a:ln>
        <a:effectLst/>
      </c:spPr>
      <c:txPr>
        <a:bodyPr rot="0" spcFirstLastPara="1" vertOverflow="ellipsis" vert="horz" wrap="square" anchor="ctr" anchorCtr="1"/>
        <a:lstStyle/>
        <a:p>
          <a:pPr>
            <a:defRPr sz="1050" b="1" i="0" u="none" strike="noStrike" kern="1200" baseline="0">
              <a:solidFill>
                <a:schemeClr val="accent6">
                  <a:lumMod val="40000"/>
                  <a:lumOff val="60000"/>
                </a:schemeClr>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numFmt formatCode="[&gt;=1000000]#,##0.##,,\ &quot;M&quot;;[&gt;=1000]#,##0.##,\ &quot;k&quot;;0" sourceLinked="0"/>
          <c:spPr>
            <a:noFill/>
            <a:ln>
              <a:noFill/>
            </a:ln>
            <a:effectLst/>
          </c:spPr>
          <c:txPr>
            <a:bodyPr rot="5400000" spcFirstLastPara="1" vertOverflow="ellipsis" horzOverflow="clip" vert="horz" wrap="squar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5"/>
        <c:spPr>
          <a:solidFill>
            <a:schemeClr val="accent2"/>
          </a:solidFill>
          <a:ln>
            <a:noFill/>
          </a:ln>
          <a:effectLst/>
        </c:spPr>
        <c:marker>
          <c:symbol val="none"/>
        </c:marker>
        <c:dLbl>
          <c:idx val="0"/>
          <c:numFmt formatCode="[&gt;=1000000]#,##0.##,,\ &quot;M&quot;;[&gt;=1000]#,##0.##,\ &quot;k&quot;;0" sourceLinked="0"/>
          <c:spPr>
            <a:noFill/>
            <a:ln>
              <a:noFill/>
            </a:ln>
            <a:effectLst/>
          </c:spPr>
          <c:txPr>
            <a:bodyPr rot="5400000" spcFirstLastPara="1" vertOverflow="ellipsis" horzOverflow="clip" vert="horz" wrap="squar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6"/>
        <c:spPr>
          <a:solidFill>
            <a:schemeClr val="accent2"/>
          </a:solidFill>
          <a:ln>
            <a:noFill/>
          </a:ln>
          <a:effectLst/>
        </c:spPr>
        <c:marker>
          <c:symbol val="none"/>
        </c:marker>
        <c:dLbl>
          <c:idx val="0"/>
          <c:numFmt formatCode="[&gt;=1000000]#,##0.##,,\ &quot;M&quot;;[&gt;=1000]#,##0.##,\ &quot;k&quot;;0" sourceLinked="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2"/>
          </a:solidFill>
          <a:ln>
            <a:noFill/>
          </a:ln>
          <a:effectLst/>
        </c:spPr>
        <c:marker>
          <c:symbol val="none"/>
        </c:marker>
        <c:dLbl>
          <c:idx val="0"/>
          <c:numFmt formatCode="[&gt;=1000000]#,##0.##,,\ &quot;M&quot;;[&gt;=1000]#,##0.##,\ &quot;k&quot;;0" sourceLinked="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8"/>
        <c:spPr>
          <a:solidFill>
            <a:schemeClr val="accent2"/>
          </a:solidFill>
          <a:ln>
            <a:noFill/>
          </a:ln>
          <a:effectLst/>
        </c:spPr>
        <c:marker>
          <c:symbol val="none"/>
        </c:marker>
        <c:dLbl>
          <c:idx val="0"/>
          <c:numFmt formatCode="[&gt;=1000000]#,##0.##,,\ &quot;M&quot;;[&gt;=1000]#,##0.##,\ &quot;k&quot;;0" sourceLinked="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9"/>
        <c:spPr>
          <a:solidFill>
            <a:schemeClr val="accent2"/>
          </a:solidFill>
          <a:ln>
            <a:noFill/>
          </a:ln>
          <a:effectLst>
            <a:outerShdw blurRad="50800" dist="50800" dir="5400000" algn="ctr" rotWithShape="0">
              <a:srgbClr val="000000">
                <a:alpha val="0"/>
              </a:srgbClr>
            </a:outerShdw>
          </a:effectLst>
        </c:spPr>
        <c:marker>
          <c:symbol val="none"/>
        </c:marker>
        <c:dLbl>
          <c:idx val="0"/>
          <c:numFmt formatCode="[&gt;=1000000]#,##0.##,,\ &quot;M&quot;;[&gt;=1000]#,##0.##,\ &quot;k&quot;;0" sourceLinked="0"/>
          <c:spPr>
            <a:solidFill>
              <a:srgbClr val="353B50"/>
            </a:solidFill>
            <a:ln>
              <a:noFill/>
            </a:ln>
            <a:effectLst/>
          </c:spPr>
          <c:txPr>
            <a:bodyPr rot="0" spcFirstLastPara="1" vertOverflow="ellipsis" vert="horz" wrap="square" anchor="ctr" anchorCtr="1"/>
            <a:lstStyle/>
            <a:p>
              <a:pPr>
                <a:defRPr sz="7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4601133391455971E-2"/>
          <c:y val="0.14234899445487564"/>
          <c:w val="0.93079773321708803"/>
          <c:h val="0.79984964197909869"/>
        </c:manualLayout>
      </c:layout>
      <c:barChart>
        <c:barDir val="bar"/>
        <c:grouping val="clustered"/>
        <c:varyColors val="0"/>
        <c:ser>
          <c:idx val="0"/>
          <c:order val="0"/>
          <c:tx>
            <c:strRef>
              <c:f>piv.tables!$B$1</c:f>
              <c:strCache>
                <c:ptCount val="1"/>
                <c:pt idx="0">
                  <c:v>Total</c:v>
                </c:pt>
              </c:strCache>
            </c:strRef>
          </c:tx>
          <c:spPr>
            <a:solidFill>
              <a:schemeClr val="accent2"/>
            </a:solidFill>
            <a:ln>
              <a:noFill/>
            </a:ln>
            <a:effectLst>
              <a:outerShdw blurRad="50800" dist="50800" dir="5400000" algn="ctr" rotWithShape="0">
                <a:srgbClr val="000000">
                  <a:alpha val="0"/>
                </a:srgbClr>
              </a:outerShdw>
            </a:effectLst>
          </c:spPr>
          <c:invertIfNegative val="0"/>
          <c:dLbls>
            <c:numFmt formatCode="[&gt;=1000000]#,##0.##,,\ &quot;M&quot;;[&gt;=1000]#,##0.##,\ &quot;k&quot;;0" sourceLinked="0"/>
            <c:spPr>
              <a:solidFill>
                <a:srgbClr val="353B50"/>
              </a:solidFill>
              <a:ln>
                <a:noFill/>
              </a:ln>
              <a:effectLst/>
            </c:spPr>
            <c:txPr>
              <a:bodyPr rot="0" spcFirstLastPara="1" vertOverflow="ellipsis" vert="horz" wrap="square" anchor="ctr" anchorCtr="1"/>
              <a:lstStyle/>
              <a:p>
                <a:pPr>
                  <a:defRPr sz="7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12700" cap="flat" cmpd="sng" algn="ctr">
                      <a:solidFill>
                        <a:schemeClr val="tx1"/>
                      </a:solidFill>
                      <a:prstDash val="solid"/>
                      <a:round/>
                    </a:ln>
                    <a:effectLst/>
                  </c:spPr>
                </c15:leaderLines>
              </c:ext>
            </c:extLst>
          </c:dLbls>
          <c:cat>
            <c:multiLvlStrRef>
              <c:f>piv.tables!$A$2:$A$21</c:f>
              <c:multiLvlStrCache>
                <c:ptCount val="10"/>
                <c:lvl>
                  <c:pt idx="0">
                    <c:v>bugatti</c:v>
                  </c:pt>
                  <c:pt idx="1">
                    <c:v>bugatti</c:v>
                  </c:pt>
                  <c:pt idx="2">
                    <c:v>bugatti</c:v>
                  </c:pt>
                  <c:pt idx="3">
                    <c:v>bugatti</c:v>
                  </c:pt>
                  <c:pt idx="4">
                    <c:v>lamborghini</c:v>
                  </c:pt>
                  <c:pt idx="5">
                    <c:v>bugatti</c:v>
                  </c:pt>
                  <c:pt idx="6">
                    <c:v>bugatti</c:v>
                  </c:pt>
                  <c:pt idx="7">
                    <c:v>mazda</c:v>
                  </c:pt>
                  <c:pt idx="8">
                    <c:v>bugatti</c:v>
                  </c:pt>
                  <c:pt idx="9">
                    <c:v>bugatti</c:v>
                  </c:pt>
                </c:lvl>
                <c:lvl>
                  <c:pt idx="0">
                    <c:v>chiron pur sport</c:v>
                  </c:pt>
                  <c:pt idx="1">
                    <c:v>chiron noire</c:v>
                  </c:pt>
                  <c:pt idx="2">
                    <c:v>chiron super sport</c:v>
                  </c:pt>
                  <c:pt idx="3">
                    <c:v>bolide</c:v>
                  </c:pt>
                  <c:pt idx="4">
                    <c:v>veneno roadster</c:v>
                  </c:pt>
                  <c:pt idx="5">
                    <c:v>mistral</c:v>
                  </c:pt>
                  <c:pt idx="6">
                    <c:v>divo</c:v>
                  </c:pt>
                  <c:pt idx="7">
                    <c:v>787b race car</c:v>
                  </c:pt>
                  <c:pt idx="8">
                    <c:v>centodieci</c:v>
                  </c:pt>
                  <c:pt idx="9">
                    <c:v>la voiture noire</c:v>
                  </c:pt>
                </c:lvl>
              </c:multiLvlStrCache>
            </c:multiLvlStrRef>
          </c:cat>
          <c:val>
            <c:numRef>
              <c:f>piv.tables!$B$2:$B$21</c:f>
              <c:numCache>
                <c:formatCode>General</c:formatCode>
                <c:ptCount val="10"/>
                <c:pt idx="0">
                  <c:v>3300000</c:v>
                </c:pt>
                <c:pt idx="1">
                  <c:v>3300000</c:v>
                </c:pt>
                <c:pt idx="2">
                  <c:v>3500000</c:v>
                </c:pt>
                <c:pt idx="3">
                  <c:v>4500000</c:v>
                </c:pt>
                <c:pt idx="4">
                  <c:v>4500000</c:v>
                </c:pt>
                <c:pt idx="5">
                  <c:v>5000000</c:v>
                </c:pt>
                <c:pt idx="6">
                  <c:v>5800000</c:v>
                </c:pt>
                <c:pt idx="7">
                  <c:v>6000000</c:v>
                </c:pt>
                <c:pt idx="8">
                  <c:v>9000000</c:v>
                </c:pt>
                <c:pt idx="9">
                  <c:v>18000000</c:v>
                </c:pt>
              </c:numCache>
            </c:numRef>
          </c:val>
          <c:extLst>
            <c:ext xmlns:c16="http://schemas.microsoft.com/office/drawing/2014/chart" uri="{C3380CC4-5D6E-409C-BE32-E72D297353CC}">
              <c16:uniqueId val="{00000000-A913-4E43-BC70-F8945458DA15}"/>
            </c:ext>
          </c:extLst>
        </c:ser>
        <c:dLbls>
          <c:showLegendKey val="0"/>
          <c:showVal val="0"/>
          <c:showCatName val="0"/>
          <c:showSerName val="0"/>
          <c:showPercent val="0"/>
          <c:showBubbleSize val="0"/>
        </c:dLbls>
        <c:gapWidth val="500"/>
        <c:axId val="373482432"/>
        <c:axId val="373480512"/>
      </c:barChart>
      <c:catAx>
        <c:axId val="373482432"/>
        <c:scaling>
          <c:orientation val="minMax"/>
        </c:scaling>
        <c:delete val="1"/>
        <c:axPos val="l"/>
        <c:numFmt formatCode="General" sourceLinked="1"/>
        <c:majorTickMark val="none"/>
        <c:minorTickMark val="none"/>
        <c:tickLblPos val="nextTo"/>
        <c:crossAx val="373480512"/>
        <c:crosses val="autoZero"/>
        <c:auto val="1"/>
        <c:lblAlgn val="ctr"/>
        <c:lblOffset val="100"/>
        <c:noMultiLvlLbl val="0"/>
      </c:catAx>
      <c:valAx>
        <c:axId val="373480512"/>
        <c:scaling>
          <c:orientation val="minMax"/>
        </c:scaling>
        <c:delete val="1"/>
        <c:axPos val="b"/>
        <c:numFmt formatCode="General" sourceLinked="1"/>
        <c:majorTickMark val="none"/>
        <c:minorTickMark val="none"/>
        <c:tickLblPos val="nextTo"/>
        <c:crossAx val="373482432"/>
        <c:crosses val="autoZero"/>
        <c:crossBetween val="between"/>
      </c:valAx>
      <c:spPr>
        <a:solidFill>
          <a:srgbClr val="353B50"/>
        </a:solidFill>
        <a:ln>
          <a:noFill/>
        </a:ln>
        <a:effectLst/>
      </c:spPr>
    </c:plotArea>
    <c:plotVisOnly val="1"/>
    <c:dispBlanksAs val="gap"/>
    <c:showDLblsOverMax val="0"/>
    <c:extLst/>
  </c:chart>
  <c:spPr>
    <a:solidFill>
      <a:srgbClr val="353B50"/>
    </a:solidFill>
    <a:ln w="9525" cap="flat" cmpd="sng" algn="ctr">
      <a:solidFill>
        <a:srgbClr val="F4FAEA"/>
      </a:solidFill>
      <a:prstDash val="solid"/>
      <a:round/>
    </a:ln>
    <a:effectLst/>
  </c:spPr>
  <c:txPr>
    <a:bodyPr/>
    <a:lstStyle/>
    <a:p>
      <a:pPr>
        <a:defRPr sz="700" b="1">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[cars.xlsx]piv.tables!bottom10cars</c:name>
    <c:fmtId val="8"/>
  </c:pivotSource>
  <c:chart>
    <c:title>
      <c:tx>
        <c:rich>
          <a:bodyPr rot="0" spcFirstLastPara="1" vertOverflow="ellipsis" vert="horz" wrap="square" anchor="ctr" anchorCtr="1"/>
          <a:lstStyle/>
          <a:p>
            <a:pPr algn="ctr" rtl="0">
              <a:defRPr lang="en-US" sz="1050" b="1" i="0" u="none" strike="noStrike" kern="1200" baseline="0">
                <a:solidFill>
                  <a:schemeClr val="accent6">
                    <a:lumMod val="40000"/>
                    <a:lumOff val="60000"/>
                  </a:schemeClr>
                </a:solidFill>
                <a:latin typeface="Arial Black" panose="020B0A04020102020204" pitchFamily="34" charset="0"/>
                <a:ea typeface="+mn-ea"/>
                <a:cs typeface="+mn-cs"/>
              </a:defRPr>
            </a:pPr>
            <a:r>
              <a:rPr lang="en-US" sz="1050" b="1" i="0" u="none" strike="noStrike" kern="1200" baseline="0">
                <a:solidFill>
                  <a:schemeClr val="accent6">
                    <a:lumMod val="40000"/>
                    <a:lumOff val="60000"/>
                  </a:schemeClr>
                </a:solidFill>
                <a:latin typeface="Arial Black" panose="020B0A04020102020204" pitchFamily="34" charset="0"/>
                <a:ea typeface="+mn-ea"/>
                <a:cs typeface="+mn-cs"/>
              </a:rPr>
              <a:t>bottom 10 Cars by Price</a:t>
            </a:r>
          </a:p>
        </c:rich>
      </c:tx>
      <c:overlay val="0"/>
      <c:spPr>
        <a:noFill/>
        <a:ln>
          <a:noFill/>
        </a:ln>
        <a:effectLst/>
      </c:spPr>
      <c:txPr>
        <a:bodyPr rot="0" spcFirstLastPara="1" vertOverflow="ellipsis" vert="horz" wrap="square" anchor="ctr" anchorCtr="1"/>
        <a:lstStyle/>
        <a:p>
          <a:pPr algn="ctr" rtl="0">
            <a:defRPr lang="en-US" sz="1050" b="1" i="0" u="none" strike="noStrike" kern="1200" baseline="0">
              <a:solidFill>
                <a:schemeClr val="accent6">
                  <a:lumMod val="40000"/>
                  <a:lumOff val="60000"/>
                </a:schemeClr>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dLbl>
          <c:idx val="0"/>
          <c:numFmt formatCode="[&gt;=1000000]#,##0.##,,\ &quot;M&quot;;[&gt;=1000]#,##0.##,\ &quot;k&quot;;0" sourceLinked="0"/>
          <c:spPr>
            <a:noFill/>
            <a:ln>
              <a:noFill/>
            </a:ln>
            <a:effectLst/>
          </c:spPr>
          <c:txPr>
            <a:bodyPr rot="5400000" spcFirstLastPara="1" vertOverflow="ellipsis" horzOverflow="clip" vert="horz" wrap="squar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numFmt formatCode="[&gt;=1000000]#,##0.##,,\ &quot;M&quot;;[&gt;=1000]#,##0.##,\ &quot;k&quot;;0" sourceLinked="0"/>
          <c:spPr>
            <a:noFill/>
            <a:ln>
              <a:noFill/>
            </a:ln>
            <a:effectLst/>
          </c:spPr>
          <c:txPr>
            <a:bodyPr rot="5400000" spcFirstLastPara="1" vertOverflow="ellipsis" horzOverflow="clip" vert="horz" wrap="square" lIns="0" tIns="0" rIns="0" bIns="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numFmt formatCode="[&gt;=1000000]#,##0.##,,\ &quot;M&quot;;[&gt;=1000]#,##0.##,\ &quot;k&quot;;0" sourceLinked="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a:noFill/>
          </a:ln>
          <a:effectLst/>
        </c:spPr>
        <c:dLbl>
          <c:idx val="0"/>
          <c:numFmt formatCode="[&gt;=1000000]#,##0.##,,\ &quot;M&quot;;[&gt;=1000]#,##0.##,\ &quot;k&quot;;0" sourceLinked="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a:noFill/>
          </a:ln>
          <a:effectLst/>
        </c:spPr>
        <c:dLbl>
          <c:idx val="0"/>
          <c:numFmt formatCode="[&gt;=1000000]#,##0.##,,\ &quot;M&quot;;[&gt;=1000]#,##0.##,\ &quot;k&quot;;0" sourceLinked="0"/>
          <c:spPr>
            <a:no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a:noFill/>
          </a:ln>
          <a:effectLst/>
        </c:spPr>
        <c:dLbl>
          <c:idx val="0"/>
          <c:numFmt formatCode="[&gt;=1000000]#,##0.##,,\ &quot;M&quot;;[&gt;=1000]#,##0.##,\ &quot;k&quot;;0" sourceLinked="0"/>
          <c:spPr>
            <a:solidFill>
              <a:srgbClr val="353B50"/>
            </a:solid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2"/>
          </a:solidFill>
          <a:ln>
            <a:noFill/>
          </a:ln>
          <a:effectLst/>
        </c:spPr>
        <c:dLbl>
          <c:idx val="0"/>
          <c:numFmt formatCode="[&gt;=1000000]#,##0.##,,\ &quot;M&quot;;[&gt;=1000]#,##0.##,\ &quot;k&quot;;0" sourceLinked="0"/>
          <c:spPr>
            <a:solidFill>
              <a:srgbClr val="353B50"/>
            </a:solid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solidFill>
          <a:ln>
            <a:noFill/>
          </a:ln>
          <a:effectLst/>
        </c:spPr>
        <c:dLbl>
          <c:idx val="0"/>
          <c:numFmt formatCode="[&gt;=1000000]#,##0.##,,\ &quot;M&quot;;[&gt;=1000]#,##0.##,\ &quot;k&quot;;0" sourceLinked="0"/>
          <c:spPr>
            <a:solidFill>
              <a:srgbClr val="353B50"/>
            </a:solidFill>
            <a:ln>
              <a:noFill/>
            </a:ln>
            <a:effectLst/>
          </c:spPr>
          <c:txPr>
            <a:bodyPr rot="0" spcFirstLastPara="1" vertOverflow="clip" horzOverflow="clip" vert="horz" wrap="square" lIns="36576" tIns="18288" rIns="36576" bIns="18288" anchor="ctr" anchorCtr="1">
              <a:spAutoFit/>
            </a:bodyPr>
            <a:lstStyle/>
            <a:p>
              <a:pPr>
                <a:defRPr sz="6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solidFill>
          <a:ln>
            <a:noFill/>
          </a:ln>
          <a:effectLst/>
        </c:spPr>
        <c:marker>
          <c:symbol val="none"/>
        </c:marker>
        <c:dLbl>
          <c:idx val="0"/>
          <c:numFmt formatCode="[&gt;=1000000]#,##0.##,,\ &quot;M&quot;;[&gt;=1000]#,##0.##,\ &quot;k&quot;;0" sourceLinked="0"/>
          <c:spPr>
            <a:solidFill>
              <a:srgbClr val="353B50"/>
            </a:solidFill>
            <a:ln>
              <a:noFill/>
            </a:ln>
            <a:effectLst/>
          </c:spPr>
          <c:txPr>
            <a:bodyPr rot="0" spcFirstLastPara="1" vertOverflow="ellipsis" vert="horz" wrap="square" anchor="ctr" anchorCtr="1"/>
            <a:lstStyle/>
            <a:p>
              <a:pPr>
                <a:defRPr sz="6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s>
    <c:plotArea>
      <c:layout>
        <c:manualLayout>
          <c:layoutTarget val="inner"/>
          <c:xMode val="edge"/>
          <c:yMode val="edge"/>
          <c:x val="3.4601133391455971E-2"/>
          <c:y val="0.14234899445487564"/>
          <c:w val="0.93079773321708803"/>
          <c:h val="0.79984964197909869"/>
        </c:manualLayout>
      </c:layout>
      <c:barChart>
        <c:barDir val="bar"/>
        <c:grouping val="clustered"/>
        <c:varyColors val="0"/>
        <c:ser>
          <c:idx val="0"/>
          <c:order val="0"/>
          <c:tx>
            <c:strRef>
              <c:f>piv.tables!$E$3</c:f>
              <c:strCache>
                <c:ptCount val="1"/>
                <c:pt idx="0">
                  <c:v>Total</c:v>
                </c:pt>
              </c:strCache>
            </c:strRef>
          </c:tx>
          <c:spPr>
            <a:solidFill>
              <a:schemeClr val="accent2"/>
            </a:solidFill>
            <a:ln>
              <a:noFill/>
            </a:ln>
            <a:effectLst/>
          </c:spPr>
          <c:invertIfNegative val="0"/>
          <c:dLbls>
            <c:numFmt formatCode="[&gt;=1000000]#,##0.##,,\ &quot;M&quot;;[&gt;=1000]#,##0.##,\ &quot;k&quot;;0" sourceLinked="0"/>
            <c:spPr>
              <a:solidFill>
                <a:srgbClr val="353B50"/>
              </a:solidFill>
              <a:ln>
                <a:noFill/>
              </a:ln>
              <a:effectLst/>
            </c:spPr>
            <c:txPr>
              <a:bodyPr rot="0" spcFirstLastPara="1" vertOverflow="ellipsis" vert="horz" wrap="square" anchor="ctr" anchorCtr="1"/>
              <a:lstStyle/>
              <a:p>
                <a:pPr>
                  <a:defRPr sz="600" b="1" i="0" u="none" strike="noStrike" kern="1200" baseline="0">
                    <a:solidFill>
                      <a:schemeClr val="bg1">
                        <a:lumMod val="9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a:noFill/>
                  <a:ln>
                    <a:noFill/>
                  </a:ln>
                </c15:spPr>
                <c15:showLeaderLines val="1"/>
                <c15:leaderLines>
                  <c:spPr>
                    <a:ln w="12700" cap="flat" cmpd="sng" algn="ctr">
                      <a:solidFill>
                        <a:schemeClr val="tx1"/>
                      </a:solidFill>
                      <a:prstDash val="solid"/>
                      <a:round/>
                    </a:ln>
                    <a:effectLst/>
                  </c:spPr>
                </c15:leaderLines>
              </c:ext>
            </c:extLst>
          </c:dLbls>
          <c:cat>
            <c:multiLvlStrRef>
              <c:f>piv.tables!$D$4:$D$23</c:f>
              <c:multiLvlStrCache>
                <c:ptCount val="10"/>
                <c:lvl>
                  <c:pt idx="0">
                    <c:v>tata motors</c:v>
                  </c:pt>
                  <c:pt idx="1">
                    <c:v>mazda</c:v>
                  </c:pt>
                  <c:pt idx="2">
                    <c:v>mazda</c:v>
                  </c:pt>
                  <c:pt idx="3">
                    <c:v>tata motors</c:v>
                  </c:pt>
                  <c:pt idx="4">
                    <c:v>tata motors</c:v>
                  </c:pt>
                  <c:pt idx="5">
                    <c:v>tata motors</c:v>
                  </c:pt>
                  <c:pt idx="6">
                    <c:v>tata motors</c:v>
                  </c:pt>
                  <c:pt idx="7">
                    <c:v>tata motors</c:v>
                  </c:pt>
                  <c:pt idx="8">
                    <c:v>tata motors</c:v>
                  </c:pt>
                  <c:pt idx="9">
                    <c:v>tata motors</c:v>
                  </c:pt>
                </c:lvl>
                <c:lvl>
                  <c:pt idx="0">
                    <c:v>tiago nrg</c:v>
                  </c:pt>
                  <c:pt idx="1">
                    <c:v>spiano</c:v>
                  </c:pt>
                  <c:pt idx="2">
                    <c:v>carol p360</c:v>
                  </c:pt>
                  <c:pt idx="3">
                    <c:v>tiago</c:v>
                  </c:pt>
                  <c:pt idx="4">
                    <c:v>indigo glx</c:v>
                  </c:pt>
                  <c:pt idx="5">
                    <c:v>indigo lx</c:v>
                  </c:pt>
                  <c:pt idx="6">
                    <c:v>indigo ecs</c:v>
                  </c:pt>
                  <c:pt idx="7">
                    <c:v>indica ev2</c:v>
                  </c:pt>
                  <c:pt idx="8">
                    <c:v>indica v2 xeta</c:v>
                  </c:pt>
                  <c:pt idx="9">
                    <c:v>nano genx</c:v>
                  </c:pt>
                </c:lvl>
              </c:multiLvlStrCache>
            </c:multiLvlStrRef>
          </c:cat>
          <c:val>
            <c:numRef>
              <c:f>piv.tables!$E$4:$E$23</c:f>
              <c:numCache>
                <c:formatCode>#,##0</c:formatCode>
                <c:ptCount val="10"/>
                <c:pt idx="0">
                  <c:v>9200</c:v>
                </c:pt>
                <c:pt idx="1">
                  <c:v>9000</c:v>
                </c:pt>
                <c:pt idx="2">
                  <c:v>9000</c:v>
                </c:pt>
                <c:pt idx="3">
                  <c:v>8200</c:v>
                </c:pt>
                <c:pt idx="4">
                  <c:v>7200</c:v>
                </c:pt>
                <c:pt idx="5">
                  <c:v>7000</c:v>
                </c:pt>
                <c:pt idx="6">
                  <c:v>6500</c:v>
                </c:pt>
                <c:pt idx="7">
                  <c:v>6200</c:v>
                </c:pt>
                <c:pt idx="8">
                  <c:v>5000</c:v>
                </c:pt>
                <c:pt idx="9">
                  <c:v>4000</c:v>
                </c:pt>
              </c:numCache>
            </c:numRef>
          </c:val>
          <c:extLst>
            <c:ext xmlns:c16="http://schemas.microsoft.com/office/drawing/2014/chart" uri="{C3380CC4-5D6E-409C-BE32-E72D297353CC}">
              <c16:uniqueId val="{00000002-9AE3-404B-9694-16BA06DD6296}"/>
            </c:ext>
          </c:extLst>
        </c:ser>
        <c:dLbls>
          <c:showLegendKey val="0"/>
          <c:showVal val="0"/>
          <c:showCatName val="0"/>
          <c:showSerName val="0"/>
          <c:showPercent val="0"/>
          <c:showBubbleSize val="0"/>
        </c:dLbls>
        <c:gapWidth val="500"/>
        <c:axId val="373482432"/>
        <c:axId val="373480512"/>
      </c:barChart>
      <c:catAx>
        <c:axId val="373482432"/>
        <c:scaling>
          <c:orientation val="minMax"/>
        </c:scaling>
        <c:delete val="1"/>
        <c:axPos val="l"/>
        <c:numFmt formatCode="General" sourceLinked="1"/>
        <c:majorTickMark val="none"/>
        <c:minorTickMark val="none"/>
        <c:tickLblPos val="nextTo"/>
        <c:crossAx val="373480512"/>
        <c:crosses val="autoZero"/>
        <c:auto val="1"/>
        <c:lblAlgn val="ctr"/>
        <c:lblOffset val="100"/>
        <c:noMultiLvlLbl val="0"/>
      </c:catAx>
      <c:valAx>
        <c:axId val="373480512"/>
        <c:scaling>
          <c:orientation val="minMax"/>
        </c:scaling>
        <c:delete val="1"/>
        <c:axPos val="b"/>
        <c:numFmt formatCode="#,##0" sourceLinked="1"/>
        <c:majorTickMark val="none"/>
        <c:minorTickMark val="none"/>
        <c:tickLblPos val="nextTo"/>
        <c:crossAx val="373482432"/>
        <c:crosses val="autoZero"/>
        <c:crossBetween val="between"/>
      </c:valAx>
      <c:spPr>
        <a:solidFill>
          <a:srgbClr val="353B50"/>
        </a:solidFill>
        <a:ln>
          <a:noFill/>
        </a:ln>
        <a:effectLst/>
      </c:spPr>
    </c:plotArea>
    <c:plotVisOnly val="1"/>
    <c:dispBlanksAs val="gap"/>
    <c:showDLblsOverMax val="0"/>
    <c:extLst/>
  </c:chart>
  <c:spPr>
    <a:solidFill>
      <a:srgbClr val="353B50"/>
    </a:solidFill>
    <a:ln w="6350" cap="flat" cmpd="sng" algn="ctr">
      <a:solidFill>
        <a:sysClr val="window" lastClr="FFFFFF">
          <a:lumMod val="95000"/>
        </a:sysClr>
      </a:solidFill>
      <a:prstDash val="solid"/>
      <a:round/>
    </a:ln>
    <a:effectLst/>
  </c:spPr>
  <c:txPr>
    <a:bodyPr/>
    <a:lstStyle/>
    <a:p>
      <a:pPr>
        <a:defRPr sz="600" b="1">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[cars.xlsx]piv.tables!averageCarPrices</c:name>
    <c:fmtId val="10"/>
  </c:pivotSource>
  <c:chart>
    <c:title>
      <c:tx>
        <c:rich>
          <a:bodyPr rot="0" spcFirstLastPara="1" vertOverflow="ellipsis" vert="horz" wrap="square" anchor="ctr" anchorCtr="1"/>
          <a:lstStyle/>
          <a:p>
            <a:pPr algn="ctr" rtl="0">
              <a:defRPr lang="en-US" sz="1050" b="1" i="0" u="none" strike="noStrike" kern="1200" spc="0" baseline="0">
                <a:solidFill>
                  <a:schemeClr val="accent6">
                    <a:lumMod val="40000"/>
                    <a:lumOff val="60000"/>
                  </a:schemeClr>
                </a:solidFill>
                <a:latin typeface="Arial Black" panose="020B0A04020102020204" pitchFamily="34" charset="0"/>
                <a:ea typeface="+mn-ea"/>
                <a:cs typeface="+mn-cs"/>
              </a:defRPr>
            </a:pPr>
            <a:r>
              <a:rPr lang="en-US" sz="1050" b="1" i="0" u="none" strike="noStrike" kern="1200" baseline="0">
                <a:solidFill>
                  <a:schemeClr val="accent6">
                    <a:lumMod val="40000"/>
                    <a:lumOff val="60000"/>
                  </a:schemeClr>
                </a:solidFill>
                <a:latin typeface="Arial Black" panose="020B0A04020102020204" pitchFamily="34" charset="0"/>
                <a:ea typeface="+mn-ea"/>
                <a:cs typeface="+mn-cs"/>
              </a:rPr>
              <a:t>avg pirce by company</a:t>
            </a:r>
          </a:p>
        </c:rich>
      </c:tx>
      <c:overlay val="0"/>
      <c:spPr>
        <a:noFill/>
        <a:ln>
          <a:noFill/>
        </a:ln>
        <a:effectLst/>
      </c:spPr>
      <c:txPr>
        <a:bodyPr rot="0" spcFirstLastPara="1" vertOverflow="ellipsis" vert="horz" wrap="square" anchor="ctr" anchorCtr="1"/>
        <a:lstStyle/>
        <a:p>
          <a:pPr algn="ctr" rtl="0">
            <a:defRPr lang="en-US" sz="1050" b="1" i="0" u="none" strike="noStrike" kern="1200" spc="0" baseline="0">
              <a:solidFill>
                <a:schemeClr val="accent6">
                  <a:lumMod val="40000"/>
                  <a:lumOff val="60000"/>
                </a:schemeClr>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a:outerShdw blurRad="50800" dist="5080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piv.tables!$H$1</c:f>
              <c:strCache>
                <c:ptCount val="1"/>
                <c:pt idx="0">
                  <c:v>Total</c:v>
                </c:pt>
              </c:strCache>
            </c:strRef>
          </c:tx>
          <c:spPr>
            <a:solidFill>
              <a:schemeClr val="accent2"/>
            </a:solidFill>
            <a:ln>
              <a:noFill/>
            </a:ln>
            <a:effectLst>
              <a:outerShdw blurRad="50800" dist="50800" dir="5400000" algn="ctr" rotWithShape="0">
                <a:srgbClr val="000000">
                  <a:alpha val="63000"/>
                </a:srgbClr>
              </a:outerShdw>
            </a:effectLst>
          </c:spPr>
          <c:invertIfNegative val="0"/>
          <c:cat>
            <c:strRef>
              <c:f>piv.tables!$G$2:$G$32</c:f>
              <c:strCache>
                <c:ptCount val="31"/>
                <c:pt idx="0">
                  <c:v>bugatti</c:v>
                </c:pt>
                <c:pt idx="1">
                  <c:v>aston martin</c:v>
                </c:pt>
                <c:pt idx="2">
                  <c:v>lamborghini</c:v>
                </c:pt>
                <c:pt idx="3">
                  <c:v>ferrari</c:v>
                </c:pt>
                <c:pt idx="4">
                  <c:v>rolls royce</c:v>
                </c:pt>
                <c:pt idx="5">
                  <c:v>bentley</c:v>
                </c:pt>
                <c:pt idx="6">
                  <c:v>porsche</c:v>
                </c:pt>
                <c:pt idx="7">
                  <c:v>mazda</c:v>
                </c:pt>
                <c:pt idx="8">
                  <c:v>volvo</c:v>
                </c:pt>
                <c:pt idx="9">
                  <c:v>tesla</c:v>
                </c:pt>
                <c:pt idx="10">
                  <c:v>mercedes</c:v>
                </c:pt>
                <c:pt idx="11">
                  <c:v>audi</c:v>
                </c:pt>
                <c:pt idx="12">
                  <c:v>jaguar land rover</c:v>
                </c:pt>
                <c:pt idx="13">
                  <c:v>bmw</c:v>
                </c:pt>
                <c:pt idx="14">
                  <c:v>gmc</c:v>
                </c:pt>
                <c:pt idx="15">
                  <c:v>acura</c:v>
                </c:pt>
                <c:pt idx="16">
                  <c:v>cadillac</c:v>
                </c:pt>
                <c:pt idx="17">
                  <c:v>nissan</c:v>
                </c:pt>
                <c:pt idx="18">
                  <c:v>jeep</c:v>
                </c:pt>
                <c:pt idx="19">
                  <c:v>ford</c:v>
                </c:pt>
                <c:pt idx="20">
                  <c:v>chevrolet</c:v>
                </c:pt>
                <c:pt idx="21">
                  <c:v>toyota</c:v>
                </c:pt>
                <c:pt idx="22">
                  <c:v>kia</c:v>
                </c:pt>
                <c:pt idx="23">
                  <c:v>volkswagen</c:v>
                </c:pt>
                <c:pt idx="24">
                  <c:v>peugeot</c:v>
                </c:pt>
                <c:pt idx="25">
                  <c:v>hyundai</c:v>
                </c:pt>
                <c:pt idx="26">
                  <c:v>mitsubishi</c:v>
                </c:pt>
                <c:pt idx="27">
                  <c:v>honda</c:v>
                </c:pt>
                <c:pt idx="28">
                  <c:v>mahindra</c:v>
                </c:pt>
                <c:pt idx="29">
                  <c:v>tata motors</c:v>
                </c:pt>
                <c:pt idx="30">
                  <c:v>maruti suzuki</c:v>
                </c:pt>
              </c:strCache>
            </c:strRef>
          </c:cat>
          <c:val>
            <c:numRef>
              <c:f>piv.tables!$H$2:$H$32</c:f>
              <c:numCache>
                <c:formatCode>#,##0</c:formatCode>
                <c:ptCount val="31"/>
                <c:pt idx="0">
                  <c:v>5870000</c:v>
                </c:pt>
                <c:pt idx="1">
                  <c:v>752949.09090909094</c:v>
                </c:pt>
                <c:pt idx="2">
                  <c:v>650083.33333333337</c:v>
                </c:pt>
                <c:pt idx="3">
                  <c:v>512222.22222222225</c:v>
                </c:pt>
                <c:pt idx="4">
                  <c:v>390400</c:v>
                </c:pt>
                <c:pt idx="5">
                  <c:v>311000</c:v>
                </c:pt>
                <c:pt idx="6">
                  <c:v>138389.58333333334</c:v>
                </c:pt>
                <c:pt idx="7">
                  <c:v>90594.344444444447</c:v>
                </c:pt>
                <c:pt idx="8">
                  <c:v>89333.333333333328</c:v>
                </c:pt>
                <c:pt idx="9">
                  <c:v>87032</c:v>
                </c:pt>
                <c:pt idx="10">
                  <c:v>84190.476190476184</c:v>
                </c:pt>
                <c:pt idx="11">
                  <c:v>82870.952380952382</c:v>
                </c:pt>
                <c:pt idx="12">
                  <c:v>70400</c:v>
                </c:pt>
                <c:pt idx="13">
                  <c:v>67317.073170731703</c:v>
                </c:pt>
                <c:pt idx="14">
                  <c:v>63293.47457627119</c:v>
                </c:pt>
                <c:pt idx="15">
                  <c:v>63259.259259259263</c:v>
                </c:pt>
                <c:pt idx="16">
                  <c:v>62178.5</c:v>
                </c:pt>
                <c:pt idx="17">
                  <c:v>59194.591194968554</c:v>
                </c:pt>
                <c:pt idx="18">
                  <c:v>51439.210526315786</c:v>
                </c:pt>
                <c:pt idx="19">
                  <c:v>50150.915492957749</c:v>
                </c:pt>
                <c:pt idx="20">
                  <c:v>44816.964285714283</c:v>
                </c:pt>
                <c:pt idx="21">
                  <c:v>40998.6875</c:v>
                </c:pt>
                <c:pt idx="22">
                  <c:v>36131.57894736842</c:v>
                </c:pt>
                <c:pt idx="23">
                  <c:v>35551.31736526946</c:v>
                </c:pt>
                <c:pt idx="24">
                  <c:v>35416.666666666664</c:v>
                </c:pt>
                <c:pt idx="25">
                  <c:v>30112.46875</c:v>
                </c:pt>
                <c:pt idx="26">
                  <c:v>28820.3125</c:v>
                </c:pt>
                <c:pt idx="27">
                  <c:v>27883.333333333332</c:v>
                </c:pt>
                <c:pt idx="28">
                  <c:v>18900</c:v>
                </c:pt>
                <c:pt idx="29">
                  <c:v>12129.411764705883</c:v>
                </c:pt>
                <c:pt idx="30">
                  <c:v>11900</c:v>
                </c:pt>
              </c:numCache>
            </c:numRef>
          </c:val>
          <c:extLst>
            <c:ext xmlns:c16="http://schemas.microsoft.com/office/drawing/2014/chart" uri="{C3380CC4-5D6E-409C-BE32-E72D297353CC}">
              <c16:uniqueId val="{00000000-52ED-4183-944D-5BB284251D77}"/>
            </c:ext>
          </c:extLst>
        </c:ser>
        <c:dLbls>
          <c:showLegendKey val="0"/>
          <c:showVal val="0"/>
          <c:showCatName val="0"/>
          <c:showSerName val="0"/>
          <c:showPercent val="0"/>
          <c:showBubbleSize val="0"/>
        </c:dLbls>
        <c:gapWidth val="219"/>
        <c:axId val="373492992"/>
        <c:axId val="373493472"/>
      </c:barChart>
      <c:catAx>
        <c:axId val="3734929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1" i="0" u="none" strike="noStrike" kern="1200" baseline="0">
                <a:solidFill>
                  <a:schemeClr val="bg1">
                    <a:lumMod val="95000"/>
                  </a:schemeClr>
                </a:solidFill>
                <a:latin typeface="+mn-lt"/>
                <a:ea typeface="+mn-ea"/>
                <a:cs typeface="+mn-cs"/>
              </a:defRPr>
            </a:pPr>
            <a:endParaRPr lang="en-US"/>
          </a:p>
        </c:txPr>
        <c:crossAx val="373493472"/>
        <c:crosses val="autoZero"/>
        <c:auto val="1"/>
        <c:lblAlgn val="ctr"/>
        <c:lblOffset val="100"/>
        <c:noMultiLvlLbl val="0"/>
      </c:catAx>
      <c:valAx>
        <c:axId val="373493472"/>
        <c:scaling>
          <c:logBase val="2"/>
          <c:orientation val="minMax"/>
          <c:min val="4000"/>
        </c:scaling>
        <c:delete val="0"/>
        <c:axPos val="l"/>
        <c:majorGridlines>
          <c:spPr>
            <a:ln w="9525" cap="flat" cmpd="sng" algn="ctr">
              <a:solidFill>
                <a:schemeClr val="bg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700" b="1" i="0" u="none" strike="noStrike" kern="1200" baseline="0">
                <a:solidFill>
                  <a:schemeClr val="bg1">
                    <a:lumMod val="95000"/>
                  </a:schemeClr>
                </a:solidFill>
                <a:latin typeface="+mn-lt"/>
                <a:ea typeface="+mn-ea"/>
                <a:cs typeface="+mn-cs"/>
              </a:defRPr>
            </a:pPr>
            <a:endParaRPr lang="en-US"/>
          </a:p>
        </c:txPr>
        <c:crossAx val="3734929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53B50"/>
    </a:solidFill>
    <a:ln w="9525" cap="flat" cmpd="sng" algn="ctr">
      <a:solidFill>
        <a:schemeClr val="tx1">
          <a:lumMod val="15000"/>
          <a:lumOff val="85000"/>
        </a:schemeClr>
      </a:solidFill>
      <a:round/>
    </a:ln>
    <a:effectLst/>
  </c:spPr>
  <c:txPr>
    <a:bodyPr/>
    <a:lstStyle/>
    <a:p>
      <a:pPr>
        <a:defRPr sz="700" b="1">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[cars.xlsx]piv.tables!carCountFuelType</c:name>
    <c:fmtId val="30"/>
  </c:pivotSource>
  <c:chart>
    <c:title>
      <c:tx>
        <c:rich>
          <a:bodyPr rot="0" spcFirstLastPara="1" vertOverflow="ellipsis" vert="horz" wrap="square" anchor="ctr" anchorCtr="1"/>
          <a:lstStyle/>
          <a:p>
            <a:pPr algn="ctr" rtl="0">
              <a:defRPr lang="en-US" sz="1050" b="1" i="0" u="none" strike="noStrike" kern="1200" spc="0" baseline="0">
                <a:solidFill>
                  <a:schemeClr val="accent6">
                    <a:lumMod val="40000"/>
                    <a:lumOff val="60000"/>
                  </a:schemeClr>
                </a:solidFill>
                <a:latin typeface="Arial Black" panose="020B0A04020102020204" pitchFamily="34" charset="0"/>
                <a:ea typeface="+mn-ea"/>
                <a:cs typeface="+mn-cs"/>
              </a:defRPr>
            </a:pPr>
            <a:r>
              <a:rPr lang="en-US" sz="1050" b="1" i="0" u="none" strike="noStrike" kern="1200" baseline="0">
                <a:solidFill>
                  <a:schemeClr val="accent6">
                    <a:lumMod val="40000"/>
                    <a:lumOff val="60000"/>
                  </a:schemeClr>
                </a:solidFill>
                <a:latin typeface="Arial Black" panose="020B0A04020102020204" pitchFamily="34" charset="0"/>
                <a:ea typeface="+mn-ea"/>
                <a:cs typeface="+mn-cs"/>
              </a:rPr>
              <a:t>Car Count by Fuel Type</a:t>
            </a:r>
          </a:p>
        </c:rich>
      </c:tx>
      <c:overlay val="0"/>
      <c:spPr>
        <a:solidFill>
          <a:srgbClr val="353B50"/>
        </a:solidFill>
        <a:ln>
          <a:noFill/>
        </a:ln>
        <a:effectLst/>
      </c:spPr>
      <c:txPr>
        <a:bodyPr rot="0" spcFirstLastPara="1" vertOverflow="ellipsis" vert="horz" wrap="square" anchor="ctr" anchorCtr="1"/>
        <a:lstStyle/>
        <a:p>
          <a:pPr algn="ctr" rtl="0">
            <a:defRPr lang="en-US" sz="1050" b="1" i="0" u="none" strike="noStrike" kern="1200" spc="0" baseline="0">
              <a:solidFill>
                <a:schemeClr val="accent6">
                  <a:lumMod val="40000"/>
                  <a:lumOff val="60000"/>
                </a:schemeClr>
              </a:solidFill>
              <a:latin typeface="Arial Black" panose="020B0A04020102020204" pitchFamily="34" charset="0"/>
              <a:ea typeface="+mn-ea"/>
              <a:cs typeface="+mn-cs"/>
            </a:defRPr>
          </a:pPr>
          <a:endParaRPr lang="en-US"/>
        </a:p>
      </c:txPr>
    </c:title>
    <c:autoTitleDeleted val="0"/>
    <c:pivotFmts>
      <c:pivotFmt>
        <c:idx val="0"/>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8"/>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9"/>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0"/>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3"/>
        <c:spPr>
          <a:solidFill>
            <a:schemeClr val="accent2"/>
          </a:solidFill>
          <a:ln>
            <a:noFill/>
          </a:ln>
          <a:effectLst/>
        </c:spPr>
        <c:dLbl>
          <c:idx val="0"/>
          <c:spPr>
            <a:noFill/>
            <a:ln>
              <a:noFill/>
            </a:ln>
            <a:effectLst/>
          </c:spPr>
          <c:txPr>
            <a:bodyPr rot="0" spcFirstLastPara="1" vertOverflow="overflow" horzOverflow="overflow" vert="horz" wrap="square" lIns="0" tIns="0" rIns="0" bIns="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4"/>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7"/>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8"/>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9"/>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0"/>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1"/>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2"/>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3"/>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4"/>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5"/>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6"/>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7"/>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8"/>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9"/>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0"/>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1"/>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2"/>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3"/>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4"/>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5"/>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6"/>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7"/>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8"/>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9"/>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0"/>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1"/>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2"/>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3"/>
        <c:spPr>
          <a:solidFill>
            <a:schemeClr val="accent2"/>
          </a:solidFill>
          <a:ln>
            <a:noFill/>
          </a:ln>
          <a:effectLst/>
        </c:spPr>
        <c:dLbl>
          <c:idx val="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4"/>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5"/>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6"/>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7"/>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8"/>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9"/>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0"/>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1"/>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2"/>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3"/>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4"/>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5"/>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6"/>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7"/>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8"/>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9"/>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0"/>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1"/>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2"/>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3"/>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4"/>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5"/>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6"/>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7"/>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8"/>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9"/>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0"/>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1"/>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2"/>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3"/>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no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4"/>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5"/>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6"/>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7"/>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8"/>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9"/>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0"/>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1"/>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2"/>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3"/>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4"/>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5"/>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6"/>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7"/>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8"/>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9"/>
        <c:spPr>
          <a:solidFill>
            <a:schemeClr val="accent2"/>
          </a:solidFill>
          <a:ln>
            <a:noFill/>
          </a:ln>
          <a:effectLst/>
        </c:spPr>
        <c:dLbl>
          <c:idx val="0"/>
          <c:numFmt formatCode="[&gt;=1000000]#,##0.##,,\ &quot;M&quot;;[&gt;=1000]#,##0.##,\ &quot;k&quot;;0" sourceLinked="0"/>
          <c:spPr>
            <a:noFill/>
            <a:ln>
              <a:noFill/>
            </a:ln>
            <a:effectLst/>
          </c:spPr>
          <c:txPr>
            <a:bodyPr rot="0" spcFirstLastPara="1" vertOverflow="overflow" horzOverflow="overflow" vert="horz" wrap="none" lIns="0" tIns="0" rIns="0" bIns="36576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0"/>
        <c:spPr>
          <a:solidFill>
            <a:schemeClr val="accent2"/>
          </a:solidFill>
          <a:ln>
            <a:noFill/>
          </a:ln>
          <a:effectLst>
            <a:outerShdw blurRad="50800" dist="50800" dir="5400000" algn="ctr" rotWithShape="0">
              <a:srgbClr val="000000">
                <a:alpha val="63000"/>
              </a:srgbClr>
            </a:outerShdw>
          </a:effectLst>
        </c:spPr>
        <c:marker>
          <c:symbol val="none"/>
        </c:marker>
        <c:dLbl>
          <c:idx val="0"/>
          <c:numFmt formatCode="[&gt;=1000000]#,##0.##,,\ &quot;M&quot;;[&gt;=1000]#,##0.##,\ &quot;k&quot;;0" sourceLinked="0"/>
          <c:spPr>
            <a:noFill/>
            <a:ln>
              <a:noFill/>
            </a:ln>
            <a:effectLst/>
          </c:spPr>
          <c:txPr>
            <a:bodyPr rot="0" spcFirstLastPara="1" vertOverflow="clip" horzOverflow="clip" vert="horz" wrap="square" lIns="36576" tIns="18288" rIns="36576" bIns="18288" anchor="b" anchorCtr="1">
              <a:spAutoFit/>
            </a:bodyPr>
            <a:lstStyle/>
            <a:p>
              <a:pPr>
                <a:defRPr sz="7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111"/>
        <c:spPr>
          <a:solidFill>
            <a:schemeClr val="accent2"/>
          </a:solidFill>
          <a:ln>
            <a:noFill/>
          </a:ln>
          <a:effectLst>
            <a:outerShdw blurRad="50800" dist="50800" dir="5400000" algn="ctr" rotWithShape="0">
              <a:srgbClr val="000000">
                <a:alpha val="63000"/>
              </a:srgbClr>
            </a:outerShdw>
          </a:effectLst>
        </c:spPr>
      </c:pivotFmt>
      <c:pivotFmt>
        <c:idx val="112"/>
        <c:spPr>
          <a:solidFill>
            <a:schemeClr val="accent2"/>
          </a:solidFill>
          <a:ln>
            <a:noFill/>
          </a:ln>
          <a:effectLst>
            <a:outerShdw blurRad="50800" dist="50800" dir="5400000" algn="ctr" rotWithShape="0">
              <a:srgbClr val="000000">
                <a:alpha val="63000"/>
              </a:srgbClr>
            </a:outerShdw>
          </a:effectLst>
        </c:spPr>
      </c:pivotFmt>
      <c:pivotFmt>
        <c:idx val="113"/>
        <c:spPr>
          <a:solidFill>
            <a:schemeClr val="accent2"/>
          </a:solidFill>
          <a:ln>
            <a:noFill/>
          </a:ln>
          <a:effectLst>
            <a:outerShdw blurRad="50800" dist="50800" dir="5400000" algn="ctr" rotWithShape="0">
              <a:srgbClr val="000000">
                <a:alpha val="63000"/>
              </a:srgbClr>
            </a:outerShdw>
          </a:effectLst>
        </c:spPr>
      </c:pivotFmt>
      <c:pivotFmt>
        <c:idx val="114"/>
        <c:spPr>
          <a:solidFill>
            <a:schemeClr val="accent2"/>
          </a:solidFill>
          <a:ln>
            <a:noFill/>
          </a:ln>
          <a:effectLst>
            <a:outerShdw blurRad="50800" dist="50800" dir="5400000" algn="ctr" rotWithShape="0">
              <a:srgbClr val="000000">
                <a:alpha val="63000"/>
              </a:srgbClr>
            </a:outerShdw>
          </a:effectLst>
        </c:spPr>
      </c:pivotFmt>
      <c:pivotFmt>
        <c:idx val="115"/>
        <c:spPr>
          <a:solidFill>
            <a:schemeClr val="accent2"/>
          </a:solidFill>
          <a:ln>
            <a:noFill/>
          </a:ln>
          <a:effectLst>
            <a:outerShdw blurRad="50800" dist="50800" dir="5400000" algn="ctr" rotWithShape="0">
              <a:srgbClr val="000000">
                <a:alpha val="63000"/>
              </a:srgbClr>
            </a:outerShdw>
          </a:effectLst>
        </c:spPr>
      </c:pivotFmt>
      <c:pivotFmt>
        <c:idx val="116"/>
        <c:spPr>
          <a:solidFill>
            <a:schemeClr val="accent2"/>
          </a:solidFill>
          <a:ln>
            <a:noFill/>
          </a:ln>
          <a:effectLst>
            <a:outerShdw blurRad="50800" dist="50800" dir="5400000" algn="ctr" rotWithShape="0">
              <a:srgbClr val="000000">
                <a:alpha val="63000"/>
              </a:srgbClr>
            </a:outerShdw>
          </a:effectLst>
        </c:spPr>
      </c:pivotFmt>
      <c:pivotFmt>
        <c:idx val="117"/>
        <c:spPr>
          <a:solidFill>
            <a:schemeClr val="accent2"/>
          </a:solidFill>
          <a:ln>
            <a:noFill/>
          </a:ln>
          <a:effectLst>
            <a:outerShdw blurRad="50800" dist="50800" dir="5400000" algn="ctr" rotWithShape="0">
              <a:srgbClr val="000000">
                <a:alpha val="63000"/>
              </a:srgbClr>
            </a:outerShdw>
          </a:effectLst>
        </c:spPr>
      </c:pivotFmt>
      <c:pivotFmt>
        <c:idx val="118"/>
        <c:spPr>
          <a:solidFill>
            <a:schemeClr val="accent2"/>
          </a:solidFill>
          <a:ln>
            <a:noFill/>
          </a:ln>
          <a:effectLst>
            <a:outerShdw blurRad="50800" dist="50800" dir="5400000" algn="ctr" rotWithShape="0">
              <a:srgbClr val="000000">
                <a:alpha val="63000"/>
              </a:srgbClr>
            </a:outerShdw>
          </a:effectLst>
        </c:spPr>
      </c:pivotFmt>
      <c:pivotFmt>
        <c:idx val="119"/>
        <c:spPr>
          <a:solidFill>
            <a:schemeClr val="accent2"/>
          </a:solidFill>
          <a:ln>
            <a:noFill/>
          </a:ln>
          <a:effectLst>
            <a:outerShdw blurRad="50800" dist="50800" dir="5400000" algn="ctr" rotWithShape="0">
              <a:srgbClr val="000000">
                <a:alpha val="63000"/>
              </a:srgbClr>
            </a:outerShdw>
          </a:effectLst>
        </c:spPr>
      </c:pivotFmt>
      <c:pivotFmt>
        <c:idx val="120"/>
        <c:spPr>
          <a:solidFill>
            <a:schemeClr val="accent2"/>
          </a:solidFill>
          <a:ln>
            <a:noFill/>
          </a:ln>
          <a:effectLst>
            <a:outerShdw blurRad="50800" dist="50800" dir="5400000" algn="ctr" rotWithShape="0">
              <a:srgbClr val="000000">
                <a:alpha val="63000"/>
              </a:srgbClr>
            </a:outerShdw>
          </a:effectLst>
        </c:spPr>
      </c:pivotFmt>
      <c:pivotFmt>
        <c:idx val="121"/>
        <c:spPr>
          <a:solidFill>
            <a:schemeClr val="accent2"/>
          </a:solidFill>
          <a:ln>
            <a:noFill/>
          </a:ln>
          <a:effectLst>
            <a:outerShdw blurRad="50800" dist="50800" dir="5400000" algn="ctr" rotWithShape="0">
              <a:srgbClr val="000000">
                <a:alpha val="63000"/>
              </a:srgbClr>
            </a:outerShdw>
          </a:effectLst>
        </c:spPr>
      </c:pivotFmt>
      <c:pivotFmt>
        <c:idx val="122"/>
        <c:spPr>
          <a:solidFill>
            <a:schemeClr val="accent2"/>
          </a:solidFill>
          <a:ln>
            <a:noFill/>
          </a:ln>
          <a:effectLst>
            <a:outerShdw blurRad="50800" dist="50800" dir="5400000" algn="ctr" rotWithShape="0">
              <a:srgbClr val="000000">
                <a:alpha val="63000"/>
              </a:srgbClr>
            </a:outerShdw>
          </a:effectLst>
        </c:spPr>
      </c:pivotFmt>
      <c:pivotFmt>
        <c:idx val="123"/>
        <c:spPr>
          <a:solidFill>
            <a:schemeClr val="accent2"/>
          </a:solidFill>
          <a:ln>
            <a:noFill/>
          </a:ln>
          <a:effectLst>
            <a:outerShdw blurRad="50800" dist="50800" dir="5400000" algn="ctr" rotWithShape="0">
              <a:srgbClr val="000000">
                <a:alpha val="63000"/>
              </a:srgbClr>
            </a:outerShdw>
          </a:effectLst>
        </c:spPr>
      </c:pivotFmt>
      <c:pivotFmt>
        <c:idx val="124"/>
        <c:spPr>
          <a:solidFill>
            <a:schemeClr val="accent2"/>
          </a:solidFill>
          <a:ln>
            <a:noFill/>
          </a:ln>
          <a:effectLst>
            <a:outerShdw blurRad="50800" dist="50800" dir="5400000" algn="ctr" rotWithShape="0">
              <a:srgbClr val="000000">
                <a:alpha val="63000"/>
              </a:srgbClr>
            </a:outerShdw>
          </a:effectLst>
        </c:spPr>
      </c:pivotFmt>
      <c:pivotFmt>
        <c:idx val="125"/>
        <c:spPr>
          <a:solidFill>
            <a:srgbClr val="7030A0"/>
          </a:solidFill>
          <a:ln>
            <a:noFill/>
          </a:ln>
          <a:effectLst>
            <a:outerShdw blurRad="50800" dist="50800" dir="5400000" algn="ctr" rotWithShape="0">
              <a:srgbClr val="000000">
                <a:alpha val="63000"/>
              </a:srgbClr>
            </a:outerShdw>
          </a:effectLst>
        </c:spPr>
      </c:pivotFmt>
      <c:pivotFmt>
        <c:idx val="126"/>
        <c:spPr>
          <a:solidFill>
            <a:schemeClr val="accent2"/>
          </a:solidFill>
          <a:ln>
            <a:noFill/>
          </a:ln>
          <a:effectLst>
            <a:outerShdw blurRad="50800" dist="50800" dir="5400000" algn="ctr" rotWithShape="0">
              <a:srgbClr val="000000">
                <a:alpha val="63000"/>
              </a:srgbClr>
            </a:outerShdw>
          </a:effectLst>
        </c:spPr>
      </c:pivotFmt>
      <c:pivotFmt>
        <c:idx val="127"/>
        <c:spPr>
          <a:solidFill>
            <a:schemeClr val="accent2"/>
          </a:solidFill>
          <a:ln>
            <a:noFill/>
          </a:ln>
          <a:effectLst>
            <a:outerShdw blurRad="50800" dist="50800" dir="5400000" algn="ctr" rotWithShape="0">
              <a:srgbClr val="000000">
                <a:alpha val="63000"/>
              </a:srgbClr>
            </a:outerShdw>
          </a:effectLst>
        </c:spPr>
      </c:pivotFmt>
      <c:pivotFmt>
        <c:idx val="128"/>
        <c:spPr>
          <a:solidFill>
            <a:srgbClr val="FFFF00"/>
          </a:solidFill>
          <a:ln>
            <a:noFill/>
          </a:ln>
          <a:effectLst>
            <a:outerShdw blurRad="50800" dist="50800" dir="5400000" algn="ctr" rotWithShape="0">
              <a:srgbClr val="000000">
                <a:alpha val="63000"/>
              </a:srgbClr>
            </a:outerShdw>
          </a:effectLst>
        </c:spPr>
      </c:pivotFmt>
      <c:pivotFmt>
        <c:idx val="129"/>
        <c:spPr>
          <a:solidFill>
            <a:srgbClr val="FF0000"/>
          </a:solidFill>
          <a:ln>
            <a:noFill/>
          </a:ln>
          <a:effectLst>
            <a:outerShdw blurRad="50800" dist="50800" dir="5400000" algn="ctr" rotWithShape="0">
              <a:srgbClr val="000000">
                <a:alpha val="63000"/>
              </a:srgbClr>
            </a:outerShdw>
          </a:effectLst>
        </c:spPr>
      </c:pivotFmt>
    </c:pivotFmts>
    <c:plotArea>
      <c:layout/>
      <c:pieChart>
        <c:varyColors val="1"/>
        <c:ser>
          <c:idx val="0"/>
          <c:order val="0"/>
          <c:tx>
            <c:strRef>
              <c:f>piv.tables!$AF$1</c:f>
              <c:strCache>
                <c:ptCount val="1"/>
                <c:pt idx="0">
                  <c:v>Total</c:v>
                </c:pt>
              </c:strCache>
            </c:strRef>
          </c:tx>
          <c:spPr>
            <a:effectLst>
              <a:outerShdw blurRad="50800" dist="50800" dir="5400000" algn="ctr" rotWithShape="0">
                <a:srgbClr val="000000">
                  <a:alpha val="63000"/>
                </a:srgbClr>
              </a:outerShdw>
            </a:effectLst>
          </c:spPr>
          <c:dPt>
            <c:idx val="0"/>
            <c:bubble3D val="0"/>
            <c:spPr>
              <a:solidFill>
                <a:srgbClr val="7030A0"/>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01-979C-48FF-9936-DCE58F26B7CE}"/>
              </c:ext>
            </c:extLst>
          </c:dPt>
          <c:dPt>
            <c:idx val="1"/>
            <c:bubble3D val="0"/>
            <c:spPr>
              <a:solidFill>
                <a:schemeClr val="accent4"/>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03-979C-48FF-9936-DCE58F26B7CE}"/>
              </c:ext>
            </c:extLst>
          </c:dPt>
          <c:dPt>
            <c:idx val="2"/>
            <c:bubble3D val="0"/>
            <c:spPr>
              <a:solidFill>
                <a:schemeClr val="accent6"/>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05-979C-48FF-9936-DCE58F26B7CE}"/>
              </c:ext>
            </c:extLst>
          </c:dPt>
          <c:dPt>
            <c:idx val="3"/>
            <c:bubble3D val="0"/>
            <c:spPr>
              <a:solidFill>
                <a:srgbClr val="FFFF00"/>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07-979C-48FF-9936-DCE58F26B7CE}"/>
              </c:ext>
            </c:extLst>
          </c:dPt>
          <c:dPt>
            <c:idx val="4"/>
            <c:bubble3D val="0"/>
            <c:spPr>
              <a:solidFill>
                <a:srgbClr val="FF0000"/>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09-979C-48FF-9936-DCE58F26B7CE}"/>
              </c:ext>
            </c:extLst>
          </c:dPt>
          <c:dPt>
            <c:idx val="5"/>
            <c:bubble3D val="0"/>
            <c:spPr>
              <a:solidFill>
                <a:schemeClr val="accent6">
                  <a:lumMod val="60000"/>
                </a:schemeClr>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0B-979C-48FF-9936-DCE58F26B7CE}"/>
              </c:ext>
            </c:extLst>
          </c:dPt>
          <c:dPt>
            <c:idx val="6"/>
            <c:bubble3D val="0"/>
            <c:spPr>
              <a:solidFill>
                <a:schemeClr val="accent2">
                  <a:lumMod val="80000"/>
                  <a:lumOff val="20000"/>
                </a:schemeClr>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0D-979C-48FF-9936-DCE58F26B7CE}"/>
              </c:ext>
            </c:extLst>
          </c:dPt>
          <c:dPt>
            <c:idx val="7"/>
            <c:bubble3D val="0"/>
            <c:spPr>
              <a:solidFill>
                <a:schemeClr val="accent4">
                  <a:lumMod val="80000"/>
                  <a:lumOff val="20000"/>
                </a:schemeClr>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0F-979C-48FF-9936-DCE58F26B7CE}"/>
              </c:ext>
            </c:extLst>
          </c:dPt>
          <c:dPt>
            <c:idx val="8"/>
            <c:bubble3D val="0"/>
            <c:spPr>
              <a:solidFill>
                <a:schemeClr val="accent6">
                  <a:lumMod val="80000"/>
                  <a:lumOff val="20000"/>
                </a:schemeClr>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11-979C-48FF-9936-DCE58F26B7CE}"/>
              </c:ext>
            </c:extLst>
          </c:dPt>
          <c:dPt>
            <c:idx val="9"/>
            <c:bubble3D val="0"/>
            <c:spPr>
              <a:solidFill>
                <a:schemeClr val="accent2">
                  <a:lumMod val="80000"/>
                </a:schemeClr>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13-979C-48FF-9936-DCE58F26B7CE}"/>
              </c:ext>
            </c:extLst>
          </c:dPt>
          <c:dPt>
            <c:idx val="10"/>
            <c:bubble3D val="0"/>
            <c:spPr>
              <a:solidFill>
                <a:schemeClr val="accent4">
                  <a:lumMod val="80000"/>
                </a:schemeClr>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15-979C-48FF-9936-DCE58F26B7CE}"/>
              </c:ext>
            </c:extLst>
          </c:dPt>
          <c:dPt>
            <c:idx val="11"/>
            <c:bubble3D val="0"/>
            <c:spPr>
              <a:solidFill>
                <a:schemeClr val="accent6">
                  <a:lumMod val="80000"/>
                </a:schemeClr>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17-979C-48FF-9936-DCE58F26B7CE}"/>
              </c:ext>
            </c:extLst>
          </c:dPt>
          <c:dPt>
            <c:idx val="12"/>
            <c:bubble3D val="0"/>
            <c:spPr>
              <a:solidFill>
                <a:schemeClr val="accent2">
                  <a:lumMod val="60000"/>
                  <a:lumOff val="40000"/>
                </a:schemeClr>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19-979C-48FF-9936-DCE58F26B7CE}"/>
              </c:ext>
            </c:extLst>
          </c:dPt>
          <c:dPt>
            <c:idx val="13"/>
            <c:bubble3D val="0"/>
            <c:spPr>
              <a:solidFill>
                <a:schemeClr val="accent4">
                  <a:lumMod val="60000"/>
                  <a:lumOff val="40000"/>
                </a:schemeClr>
              </a:solidFill>
              <a:ln>
                <a:noFill/>
              </a:ln>
              <a:effectLst>
                <a:outerShdw blurRad="50800" dist="50800" dir="5400000" algn="ctr" rotWithShape="0">
                  <a:srgbClr val="000000">
                    <a:alpha val="63000"/>
                  </a:srgbClr>
                </a:outerShdw>
              </a:effectLst>
            </c:spPr>
            <c:extLst>
              <c:ext xmlns:c16="http://schemas.microsoft.com/office/drawing/2014/chart" uri="{C3380CC4-5D6E-409C-BE32-E72D297353CC}">
                <c16:uniqueId val="{0000001B-979C-48FF-9936-DCE58F26B7CE}"/>
              </c:ext>
            </c:extLst>
          </c:dPt>
          <c:dLbls>
            <c:numFmt formatCode="[&gt;=1000000]#,##0.##,,\ &quot;M&quot;;[&gt;=1000]#,##0.##,\ &quot;k&quot;;0" sourceLinked="0"/>
            <c:spPr>
              <a:noFill/>
              <a:ln>
                <a:noFill/>
              </a:ln>
              <a:effectLst/>
            </c:spPr>
            <c:txPr>
              <a:bodyPr rot="0" spcFirstLastPara="1" vertOverflow="clip" horzOverflow="clip" vert="horz" wrap="square" lIns="36576" tIns="18288" rIns="36576" bIns="18288" anchor="b" anchorCtr="1">
                <a:spAutoFit/>
              </a:bodyPr>
              <a:lstStyle/>
              <a:p>
                <a:pPr>
                  <a:defRPr sz="700" b="1" i="0" u="none" strike="noStrike" kern="1200" baseline="0">
                    <a:solidFill>
                      <a:schemeClr val="bg1">
                        <a:lumMod val="95000"/>
                      </a:schemeClr>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piv.tables!$AE$2:$AE$6</c:f>
              <c:strCache>
                <c:ptCount val="5"/>
                <c:pt idx="0">
                  <c:v>diesel</c:v>
                </c:pt>
                <c:pt idx="1">
                  <c:v>electric</c:v>
                </c:pt>
                <c:pt idx="2">
                  <c:v>hybrid</c:v>
                </c:pt>
                <c:pt idx="3">
                  <c:v>Others</c:v>
                </c:pt>
                <c:pt idx="4">
                  <c:v>petrol</c:v>
                </c:pt>
              </c:strCache>
            </c:strRef>
          </c:cat>
          <c:val>
            <c:numRef>
              <c:f>piv.tables!$AF$2:$AF$6</c:f>
              <c:numCache>
                <c:formatCode>General</c:formatCode>
                <c:ptCount val="5"/>
                <c:pt idx="0">
                  <c:v>145</c:v>
                </c:pt>
                <c:pt idx="1">
                  <c:v>103</c:v>
                </c:pt>
                <c:pt idx="2">
                  <c:v>103</c:v>
                </c:pt>
                <c:pt idx="3">
                  <c:v>24</c:v>
                </c:pt>
                <c:pt idx="4">
                  <c:v>973</c:v>
                </c:pt>
              </c:numCache>
            </c:numRef>
          </c:val>
          <c:extLst>
            <c:ext xmlns:c16="http://schemas.microsoft.com/office/drawing/2014/chart" uri="{C3380CC4-5D6E-409C-BE32-E72D297353CC}">
              <c16:uniqueId val="{00000000-B14F-4C1A-A559-5EB05B8F9B9A}"/>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53B50"/>
    </a:solidFill>
    <a:ln w="9525" cap="rnd" cmpd="sng" algn="ctr">
      <a:solidFill>
        <a:schemeClr val="tx1">
          <a:lumMod val="15000"/>
          <a:lumOff val="85000"/>
        </a:schemeClr>
      </a:solidFill>
      <a:round/>
    </a:ln>
    <a:effectLst/>
  </c:spPr>
  <c:txPr>
    <a:bodyPr/>
    <a:lstStyle/>
    <a:p>
      <a:pPr>
        <a:defRPr sz="700" b="1">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[cars.xlsx]piv.tables!priceSegment</c:name>
    <c:fmtId val="14"/>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car count by Price Segment</a:t>
            </a:r>
          </a:p>
        </c:rich>
      </c:tx>
      <c:layout>
        <c:manualLayout>
          <c:xMode val="edge"/>
          <c:yMode val="edge"/>
          <c:x val="0.27134011373578304"/>
          <c:y val="0"/>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7"/>
        <c:spPr>
          <a:solidFill>
            <a:srgbClr val="E8E8E8">
              <a:lumMod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196B24">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rgbClr val="E8E8E8">
              <a:lumMod val="9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rgbClr val="196B24">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solidFill>
            <a:schemeClr val="accent1">
              <a:lumMod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1"/>
          <c:showBubbleSize val="1"/>
          <c:extLst>
            <c:ext xmlns:c15="http://schemas.microsoft.com/office/drawing/2012/chart" uri="{CE6537A1-D6FC-4f65-9D91-7224C49458BB}"/>
          </c:extLst>
        </c:dLbl>
      </c:pivotFmt>
      <c:pivotFmt>
        <c:idx val="37"/>
        <c:spPr>
          <a:solidFill>
            <a:schemeClr val="accent1">
              <a:lumMod val="60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piv.tables!$K$1:$K$2</c:f>
              <c:strCache>
                <c:ptCount val="1"/>
                <c:pt idx="0">
                  <c:v>Ultra Economy</c:v>
                </c:pt>
              </c:strCache>
            </c:strRef>
          </c:tx>
          <c:spPr>
            <a:solidFill>
              <a:srgbClr val="E8E8E8">
                <a:lumMod val="90000"/>
              </a:srgbClr>
            </a:solidFill>
            <a:ln>
              <a:noFill/>
            </a:ln>
            <a:effectLst/>
          </c:spPr>
          <c:invertIfNegative val="0"/>
          <c:cat>
            <c:strRef>
              <c:f>piv.tables!$J$3:$J$33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piv.tables!$K$3:$K$33</c:f>
              <c:numCache>
                <c:formatCode>General</c:formatCode>
                <c:ptCount val="31"/>
                <c:pt idx="19">
                  <c:v>2</c:v>
                </c:pt>
                <c:pt idx="26">
                  <c:v>15</c:v>
                </c:pt>
              </c:numCache>
            </c:numRef>
          </c:val>
          <c:extLst>
            <c:ext xmlns:c16="http://schemas.microsoft.com/office/drawing/2014/chart" uri="{C3380CC4-5D6E-409C-BE32-E72D297353CC}">
              <c16:uniqueId val="{0000000D-2D44-42A8-B8B2-E2FFBDF9E69C}"/>
            </c:ext>
          </c:extLst>
        </c:ser>
        <c:ser>
          <c:idx val="1"/>
          <c:order val="1"/>
          <c:tx>
            <c:strRef>
              <c:f>piv.tables!$L$1:$L$2</c:f>
              <c:strCache>
                <c:ptCount val="1"/>
                <c:pt idx="0">
                  <c:v>Economy</c:v>
                </c:pt>
              </c:strCache>
            </c:strRef>
          </c:tx>
          <c:spPr>
            <a:solidFill>
              <a:srgbClr val="196B24">
                <a:lumMod val="50000"/>
              </a:srgbClr>
            </a:solidFill>
            <a:ln>
              <a:noFill/>
            </a:ln>
            <a:effectLst/>
          </c:spPr>
          <c:invertIfNegative val="0"/>
          <c:cat>
            <c:strRef>
              <c:f>piv.tables!$J$3:$J$33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piv.tables!$L$3:$L$33</c:f>
              <c:numCache>
                <c:formatCode>General</c:formatCode>
                <c:ptCount val="31"/>
                <c:pt idx="7">
                  <c:v>4</c:v>
                </c:pt>
                <c:pt idx="9">
                  <c:v>3</c:v>
                </c:pt>
                <c:pt idx="11">
                  <c:v>2</c:v>
                </c:pt>
                <c:pt idx="12">
                  <c:v>9</c:v>
                </c:pt>
                <c:pt idx="15">
                  <c:v>4</c:v>
                </c:pt>
                <c:pt idx="17">
                  <c:v>2</c:v>
                </c:pt>
                <c:pt idx="18">
                  <c:v>4</c:v>
                </c:pt>
                <c:pt idx="19">
                  <c:v>25</c:v>
                </c:pt>
                <c:pt idx="21">
                  <c:v>12</c:v>
                </c:pt>
                <c:pt idx="22">
                  <c:v>26</c:v>
                </c:pt>
                <c:pt idx="26">
                  <c:v>13</c:v>
                </c:pt>
                <c:pt idx="28">
                  <c:v>2</c:v>
                </c:pt>
                <c:pt idx="29">
                  <c:v>14</c:v>
                </c:pt>
              </c:numCache>
            </c:numRef>
          </c:val>
          <c:extLst>
            <c:ext xmlns:c16="http://schemas.microsoft.com/office/drawing/2014/chart" uri="{C3380CC4-5D6E-409C-BE32-E72D297353CC}">
              <c16:uniqueId val="{0000000F-6EB7-41F2-8F06-E14CA9F3D8A5}"/>
            </c:ext>
          </c:extLst>
        </c:ser>
        <c:ser>
          <c:idx val="2"/>
          <c:order val="2"/>
          <c:tx>
            <c:strRef>
              <c:f>piv.tables!$M$1:$M$2</c:f>
              <c:strCache>
                <c:ptCount val="1"/>
                <c:pt idx="0">
                  <c:v>Regular</c:v>
                </c:pt>
              </c:strCache>
            </c:strRef>
          </c:tx>
          <c:spPr>
            <a:solidFill>
              <a:srgbClr val="FFFF00"/>
            </a:solidFill>
            <a:ln>
              <a:noFill/>
            </a:ln>
            <a:effectLst/>
          </c:spPr>
          <c:invertIfNegative val="0"/>
          <c:cat>
            <c:strRef>
              <c:f>piv.tables!$J$3:$J$33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piv.tables!$M$3:$M$33</c:f>
              <c:numCache>
                <c:formatCode>General</c:formatCode>
                <c:ptCount val="31"/>
                <c:pt idx="0">
                  <c:v>9</c:v>
                </c:pt>
                <c:pt idx="2">
                  <c:v>5</c:v>
                </c:pt>
                <c:pt idx="4">
                  <c:v>27</c:v>
                </c:pt>
                <c:pt idx="6">
                  <c:v>8</c:v>
                </c:pt>
                <c:pt idx="7">
                  <c:v>31</c:v>
                </c:pt>
                <c:pt idx="9">
                  <c:v>41</c:v>
                </c:pt>
                <c:pt idx="10">
                  <c:v>21</c:v>
                </c:pt>
                <c:pt idx="11">
                  <c:v>7</c:v>
                </c:pt>
                <c:pt idx="12">
                  <c:v>17</c:v>
                </c:pt>
                <c:pt idx="13">
                  <c:v>2</c:v>
                </c:pt>
                <c:pt idx="14">
                  <c:v>11</c:v>
                </c:pt>
                <c:pt idx="15">
                  <c:v>60</c:v>
                </c:pt>
                <c:pt idx="17">
                  <c:v>2</c:v>
                </c:pt>
                <c:pt idx="19">
                  <c:v>60</c:v>
                </c:pt>
                <c:pt idx="20">
                  <c:v>3</c:v>
                </c:pt>
                <c:pt idx="21">
                  <c:v>50</c:v>
                </c:pt>
                <c:pt idx="22">
                  <c:v>85</c:v>
                </c:pt>
                <c:pt idx="23">
                  <c:v>49</c:v>
                </c:pt>
                <c:pt idx="26">
                  <c:v>6</c:v>
                </c:pt>
                <c:pt idx="27">
                  <c:v>2</c:v>
                </c:pt>
                <c:pt idx="28">
                  <c:v>44</c:v>
                </c:pt>
                <c:pt idx="29">
                  <c:v>127</c:v>
                </c:pt>
              </c:numCache>
            </c:numRef>
          </c:val>
          <c:extLst>
            <c:ext xmlns:c16="http://schemas.microsoft.com/office/drawing/2014/chart" uri="{C3380CC4-5D6E-409C-BE32-E72D297353CC}">
              <c16:uniqueId val="{00000002-26EE-4DBB-8692-13B9EA36E6C1}"/>
            </c:ext>
          </c:extLst>
        </c:ser>
        <c:ser>
          <c:idx val="3"/>
          <c:order val="3"/>
          <c:tx>
            <c:strRef>
              <c:f>piv.tables!$N$1:$N$2</c:f>
              <c:strCache>
                <c:ptCount val="1"/>
                <c:pt idx="0">
                  <c:v>Premium</c:v>
                </c:pt>
              </c:strCache>
            </c:strRef>
          </c:tx>
          <c:spPr>
            <a:solidFill>
              <a:schemeClr val="accent4"/>
            </a:solidFill>
            <a:ln>
              <a:noFill/>
            </a:ln>
            <a:effectLst/>
          </c:spPr>
          <c:invertIfNegative val="0"/>
          <c:cat>
            <c:strRef>
              <c:f>piv.tables!$J$3:$J$33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piv.tables!$N$3:$N$33</c:f>
              <c:numCache>
                <c:formatCode>General</c:formatCode>
                <c:ptCount val="31"/>
                <c:pt idx="0">
                  <c:v>14</c:v>
                </c:pt>
                <c:pt idx="2">
                  <c:v>10</c:v>
                </c:pt>
                <c:pt idx="4">
                  <c:v>7</c:v>
                </c:pt>
                <c:pt idx="6">
                  <c:v>9</c:v>
                </c:pt>
                <c:pt idx="7">
                  <c:v>21</c:v>
                </c:pt>
                <c:pt idx="9">
                  <c:v>26</c:v>
                </c:pt>
                <c:pt idx="10">
                  <c:v>28</c:v>
                </c:pt>
                <c:pt idx="12">
                  <c:v>6</c:v>
                </c:pt>
                <c:pt idx="13">
                  <c:v>39</c:v>
                </c:pt>
                <c:pt idx="14">
                  <c:v>7</c:v>
                </c:pt>
                <c:pt idx="15">
                  <c:v>12</c:v>
                </c:pt>
                <c:pt idx="19">
                  <c:v>1</c:v>
                </c:pt>
                <c:pt idx="20">
                  <c:v>9</c:v>
                </c:pt>
                <c:pt idx="21">
                  <c:v>2</c:v>
                </c:pt>
                <c:pt idx="22">
                  <c:v>35</c:v>
                </c:pt>
                <c:pt idx="23">
                  <c:v>5</c:v>
                </c:pt>
                <c:pt idx="24">
                  <c:v>22</c:v>
                </c:pt>
                <c:pt idx="27">
                  <c:v>4</c:v>
                </c:pt>
                <c:pt idx="28">
                  <c:v>16</c:v>
                </c:pt>
                <c:pt idx="29">
                  <c:v>25</c:v>
                </c:pt>
                <c:pt idx="30">
                  <c:v>8</c:v>
                </c:pt>
              </c:numCache>
            </c:numRef>
          </c:val>
          <c:extLst>
            <c:ext xmlns:c16="http://schemas.microsoft.com/office/drawing/2014/chart" uri="{C3380CC4-5D6E-409C-BE32-E72D297353CC}">
              <c16:uniqueId val="{00000003-26EE-4DBB-8692-13B9EA36E6C1}"/>
            </c:ext>
          </c:extLst>
        </c:ser>
        <c:ser>
          <c:idx val="4"/>
          <c:order val="4"/>
          <c:tx>
            <c:strRef>
              <c:f>piv.tables!$O$1:$O$2</c:f>
              <c:strCache>
                <c:ptCount val="1"/>
                <c:pt idx="0">
                  <c:v>Luxury</c:v>
                </c:pt>
              </c:strCache>
            </c:strRef>
          </c:tx>
          <c:spPr>
            <a:solidFill>
              <a:srgbClr val="E8E8E8">
                <a:lumMod val="90000"/>
              </a:srgbClr>
            </a:solidFill>
            <a:ln>
              <a:noFill/>
            </a:ln>
            <a:effectLst/>
          </c:spPr>
          <c:invertIfNegative val="0"/>
          <c:cat>
            <c:strRef>
              <c:f>piv.tables!$J$3:$J$33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piv.tables!$O$3:$O$33</c:f>
              <c:numCache>
                <c:formatCode>General</c:formatCode>
                <c:ptCount val="31"/>
                <c:pt idx="0">
                  <c:v>4</c:v>
                </c:pt>
                <c:pt idx="1">
                  <c:v>7</c:v>
                </c:pt>
                <c:pt idx="2">
                  <c:v>6</c:v>
                </c:pt>
                <c:pt idx="3">
                  <c:v>1</c:v>
                </c:pt>
                <c:pt idx="4">
                  <c:v>7</c:v>
                </c:pt>
                <c:pt idx="6">
                  <c:v>3</c:v>
                </c:pt>
                <c:pt idx="8">
                  <c:v>7</c:v>
                </c:pt>
                <c:pt idx="9">
                  <c:v>1</c:v>
                </c:pt>
                <c:pt idx="10">
                  <c:v>10</c:v>
                </c:pt>
                <c:pt idx="13">
                  <c:v>9</c:v>
                </c:pt>
                <c:pt idx="14">
                  <c:v>1</c:v>
                </c:pt>
                <c:pt idx="16">
                  <c:v>22</c:v>
                </c:pt>
                <c:pt idx="20">
                  <c:v>9</c:v>
                </c:pt>
                <c:pt idx="22">
                  <c:v>11</c:v>
                </c:pt>
                <c:pt idx="24">
                  <c:v>73</c:v>
                </c:pt>
                <c:pt idx="25">
                  <c:v>30</c:v>
                </c:pt>
                <c:pt idx="27">
                  <c:v>4</c:v>
                </c:pt>
                <c:pt idx="28">
                  <c:v>1</c:v>
                </c:pt>
                <c:pt idx="29">
                  <c:v>1</c:v>
                </c:pt>
                <c:pt idx="30">
                  <c:v>7</c:v>
                </c:pt>
              </c:numCache>
            </c:numRef>
          </c:val>
          <c:extLst>
            <c:ext xmlns:c16="http://schemas.microsoft.com/office/drawing/2014/chart" uri="{C3380CC4-5D6E-409C-BE32-E72D297353CC}">
              <c16:uniqueId val="{00000004-26EE-4DBB-8692-13B9EA36E6C1}"/>
            </c:ext>
          </c:extLst>
        </c:ser>
        <c:ser>
          <c:idx val="5"/>
          <c:order val="5"/>
          <c:tx>
            <c:strRef>
              <c:f>piv.tables!$P$1:$P$2</c:f>
              <c:strCache>
                <c:ptCount val="1"/>
                <c:pt idx="0">
                  <c:v>Super Luxury</c:v>
                </c:pt>
              </c:strCache>
            </c:strRef>
          </c:tx>
          <c:spPr>
            <a:solidFill>
              <a:srgbClr val="196B24">
                <a:lumMod val="50000"/>
              </a:srgbClr>
            </a:solidFill>
            <a:ln>
              <a:noFill/>
            </a:ln>
            <a:effectLst/>
          </c:spPr>
          <c:invertIfNegative val="0"/>
          <c:cat>
            <c:strRef>
              <c:f>piv.tables!$J$3:$J$33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piv.tables!$P$3:$P$33</c:f>
              <c:numCache>
                <c:formatCode>General</c:formatCode>
                <c:ptCount val="31"/>
                <c:pt idx="1">
                  <c:v>4</c:v>
                </c:pt>
                <c:pt idx="5">
                  <c:v>10</c:v>
                </c:pt>
                <c:pt idx="8">
                  <c:v>2</c:v>
                </c:pt>
                <c:pt idx="16">
                  <c:v>2</c:v>
                </c:pt>
                <c:pt idx="19">
                  <c:v>1</c:v>
                </c:pt>
                <c:pt idx="22">
                  <c:v>2</c:v>
                </c:pt>
                <c:pt idx="24">
                  <c:v>1</c:v>
                </c:pt>
              </c:numCache>
            </c:numRef>
          </c:val>
          <c:extLst>
            <c:ext xmlns:c16="http://schemas.microsoft.com/office/drawing/2014/chart" uri="{C3380CC4-5D6E-409C-BE32-E72D297353CC}">
              <c16:uniqueId val="{00000005-26EE-4DBB-8692-13B9EA36E6C1}"/>
            </c:ext>
          </c:extLst>
        </c:ser>
        <c:ser>
          <c:idx val="6"/>
          <c:order val="6"/>
          <c:tx>
            <c:strRef>
              <c:f>piv.tables!$Q$1:$Q$2</c:f>
              <c:strCache>
                <c:ptCount val="1"/>
                <c:pt idx="0">
                  <c:v>(blank)</c:v>
                </c:pt>
              </c:strCache>
            </c:strRef>
          </c:tx>
          <c:spPr>
            <a:solidFill>
              <a:schemeClr val="accent1">
                <a:lumMod val="60000"/>
              </a:schemeClr>
            </a:solidFill>
            <a:ln>
              <a:noFill/>
            </a:ln>
            <a:effectLst/>
          </c:spPr>
          <c:invertIfNegative val="0"/>
          <c:dPt>
            <c:idx val="19"/>
            <c:invertIfNegative val="0"/>
            <c:bubble3D val="0"/>
            <c:spPr>
              <a:solidFill>
                <a:schemeClr val="accent1">
                  <a:lumMod val="60000"/>
                </a:schemeClr>
              </a:solidFill>
              <a:ln>
                <a:noFill/>
              </a:ln>
              <a:effectLst/>
            </c:spPr>
            <c:extLst>
              <c:ext xmlns:c16="http://schemas.microsoft.com/office/drawing/2014/chart" uri="{C3380CC4-5D6E-409C-BE32-E72D297353CC}">
                <c16:uniqueId val="{00000001-9720-4C99-A6EA-FD3543F65CA1}"/>
              </c:ext>
            </c:extLst>
          </c:dPt>
          <c:dPt>
            <c:idx val="28"/>
            <c:invertIfNegative val="0"/>
            <c:bubble3D val="0"/>
            <c:spPr>
              <a:solidFill>
                <a:schemeClr val="accent1">
                  <a:lumMod val="60000"/>
                </a:schemeClr>
              </a:solidFill>
              <a:ln>
                <a:noFill/>
              </a:ln>
              <a:effectLst/>
            </c:spPr>
            <c:extLst>
              <c:ext xmlns:c16="http://schemas.microsoft.com/office/drawing/2014/chart" uri="{C3380CC4-5D6E-409C-BE32-E72D297353CC}">
                <c16:uniqueId val="{00000003-9720-4C99-A6EA-FD3543F65CA1}"/>
              </c:ext>
            </c:extLst>
          </c:dPt>
          <c:dLbls>
            <c:dLbl>
              <c:idx val="19"/>
              <c:showLegendKey val="0"/>
              <c:showVal val="0"/>
              <c:showCatName val="0"/>
              <c:showSerName val="0"/>
              <c:showPercent val="1"/>
              <c:showBubbleSize val="1"/>
              <c:extLst>
                <c:ext xmlns:c15="http://schemas.microsoft.com/office/drawing/2012/chart" uri="{CE6537A1-D6FC-4f65-9D91-7224C49458BB}"/>
                <c:ext xmlns:c16="http://schemas.microsoft.com/office/drawing/2014/chart" uri="{C3380CC4-5D6E-409C-BE32-E72D297353CC}">
                  <c16:uniqueId val="{00000001-9720-4C99-A6EA-FD3543F65CA1}"/>
                </c:ext>
              </c:extLst>
            </c:dLbl>
            <c:dLbl>
              <c:idx val="28"/>
              <c:delete val="1"/>
              <c:extLst>
                <c:ext xmlns:c15="http://schemas.microsoft.com/office/drawing/2012/chart" uri="{CE6537A1-D6FC-4f65-9D91-7224C49458BB}"/>
                <c:ext xmlns:c16="http://schemas.microsoft.com/office/drawing/2014/chart" uri="{C3380CC4-5D6E-409C-BE32-E72D297353CC}">
                  <c16:uniqueId val="{00000003-9720-4C99-A6EA-FD3543F65CA1}"/>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1"/>
            <c:showVal val="1"/>
            <c:showCatName val="1"/>
            <c:showSerName val="1"/>
            <c:showPercent val="1"/>
            <c:showBubbleSize val="1"/>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piv.tables!$J$3:$J$33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piv.tables!$Q$3:$Q$33</c:f>
              <c:numCache>
                <c:formatCode>General</c:formatCode>
                <c:ptCount val="31"/>
                <c:pt idx="19">
                  <c:v>1</c:v>
                </c:pt>
                <c:pt idx="28">
                  <c:v>1</c:v>
                </c:pt>
              </c:numCache>
            </c:numRef>
          </c:val>
          <c:extLst>
            <c:ext xmlns:c16="http://schemas.microsoft.com/office/drawing/2014/chart" uri="{C3380CC4-5D6E-409C-BE32-E72D297353CC}">
              <c16:uniqueId val="{00000006-26EE-4DBB-8692-13B9EA36E6C1}"/>
            </c:ext>
          </c:extLst>
        </c:ser>
        <c:dLbls>
          <c:showLegendKey val="0"/>
          <c:showVal val="0"/>
          <c:showCatName val="0"/>
          <c:showSerName val="0"/>
          <c:showPercent val="0"/>
          <c:showBubbleSize val="0"/>
        </c:dLbls>
        <c:gapWidth val="219"/>
        <c:overlap val="100"/>
        <c:axId val="598987775"/>
        <c:axId val="599004095"/>
      </c:barChart>
      <c:catAx>
        <c:axId val="598987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599004095"/>
        <c:crosses val="autoZero"/>
        <c:auto val="1"/>
        <c:lblAlgn val="ctr"/>
        <c:lblOffset val="100"/>
        <c:noMultiLvlLbl val="0"/>
      </c:catAx>
      <c:valAx>
        <c:axId val="599004095"/>
        <c:scaling>
          <c:orientation val="minMax"/>
        </c:scaling>
        <c:delete val="0"/>
        <c:axPos val="l"/>
        <c:majorGridlines>
          <c:spPr>
            <a:ln w="9525" cap="flat" cmpd="sng" algn="ctr">
              <a:solidFill>
                <a:sysClr val="window" lastClr="FFFFFF">
                  <a:lumMod val="95000"/>
                  <a:alpha val="10000"/>
                </a:sys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598987775"/>
        <c:crosses val="autoZero"/>
        <c:crossBetween val="between"/>
      </c:valAx>
      <c:spPr>
        <a:noFill/>
        <a:ln>
          <a:noFill/>
        </a:ln>
        <a:effectLst/>
      </c:spPr>
    </c:plotArea>
    <c:legend>
      <c:legendPos val="t"/>
      <c:layout>
        <c:manualLayout>
          <c:xMode val="edge"/>
          <c:yMode val="edge"/>
          <c:x val="5.8333444341012876E-2"/>
          <c:y val="5.5644146843849246E-2"/>
          <c:w val="0.89999982973260362"/>
          <c:h val="5.7966208692307723E-2"/>
        </c:manualLayout>
      </c:layout>
      <c:overlay val="1"/>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53B50"/>
    </a:solidFill>
    <a:ln w="9525" cap="flat" cmpd="sng" algn="ctr">
      <a:solidFill>
        <a:schemeClr val="tx1">
          <a:lumMod val="15000"/>
          <a:lumOff val="85000"/>
        </a:schemeClr>
      </a:solidFill>
      <a:round/>
    </a:ln>
    <a:effectLst/>
  </c:spPr>
  <c:txPr>
    <a:bodyPr/>
    <a:lstStyle/>
    <a:p>
      <a:pPr>
        <a:defRPr b="1">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[cars.xlsx]piv.tables!seatCatCompany</c:name>
    <c:fmtId val="16"/>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car count by seats categories </a:t>
            </a:r>
          </a:p>
        </c:rich>
      </c:tx>
      <c:layout>
        <c:manualLayout>
          <c:xMode val="edge"/>
          <c:yMode val="edge"/>
          <c:x val="0.26063073462658648"/>
          <c:y val="1.047120706633331E-2"/>
        </c:manualLayout>
      </c:layout>
      <c:overlay val="0"/>
      <c:spPr>
        <a:solidFill>
          <a:srgbClr val="353B50"/>
        </a:solid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rgbClr val="196B24">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piv.tables!$AM$1:$AM$2</c:f>
              <c:strCache>
                <c:ptCount val="1"/>
                <c:pt idx="0">
                  <c:v>Compact</c:v>
                </c:pt>
              </c:strCache>
            </c:strRef>
          </c:tx>
          <c:spPr>
            <a:solidFill>
              <a:srgbClr val="196B24">
                <a:lumMod val="50000"/>
              </a:srgbClr>
            </a:solidFill>
            <a:ln>
              <a:noFill/>
            </a:ln>
            <a:effectLst/>
          </c:spPr>
          <c:invertIfNegative val="0"/>
          <c:cat>
            <c:strRef>
              <c:f>piv.tables!$AL$3:$AL$33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piv.tables!$AM$3:$AM$33</c:f>
              <c:numCache>
                <c:formatCode>General</c:formatCode>
                <c:ptCount val="31"/>
                <c:pt idx="0">
                  <c:v>4</c:v>
                </c:pt>
                <c:pt idx="1">
                  <c:v>7</c:v>
                </c:pt>
                <c:pt idx="2">
                  <c:v>3</c:v>
                </c:pt>
                <c:pt idx="4">
                  <c:v>2</c:v>
                </c:pt>
                <c:pt idx="5">
                  <c:v>10</c:v>
                </c:pt>
                <c:pt idx="7">
                  <c:v>3</c:v>
                </c:pt>
                <c:pt idx="8">
                  <c:v>9</c:v>
                </c:pt>
                <c:pt idx="9">
                  <c:v>11</c:v>
                </c:pt>
                <c:pt idx="13">
                  <c:v>12</c:v>
                </c:pt>
                <c:pt idx="16">
                  <c:v>20</c:v>
                </c:pt>
                <c:pt idx="19">
                  <c:v>16</c:v>
                </c:pt>
                <c:pt idx="21">
                  <c:v>4</c:v>
                </c:pt>
                <c:pt idx="22">
                  <c:v>18</c:v>
                </c:pt>
                <c:pt idx="24">
                  <c:v>17</c:v>
                </c:pt>
                <c:pt idx="28">
                  <c:v>3</c:v>
                </c:pt>
                <c:pt idx="29">
                  <c:v>4</c:v>
                </c:pt>
                <c:pt idx="30">
                  <c:v>9</c:v>
                </c:pt>
              </c:numCache>
            </c:numRef>
          </c:val>
          <c:extLst>
            <c:ext xmlns:c16="http://schemas.microsoft.com/office/drawing/2014/chart" uri="{C3380CC4-5D6E-409C-BE32-E72D297353CC}">
              <c16:uniqueId val="{0000000F-DFC3-42F2-9E5C-73ADB73C0795}"/>
            </c:ext>
          </c:extLst>
        </c:ser>
        <c:ser>
          <c:idx val="1"/>
          <c:order val="1"/>
          <c:tx>
            <c:strRef>
              <c:f>piv.tables!$AN$1:$AN$2</c:f>
              <c:strCache>
                <c:ptCount val="1"/>
                <c:pt idx="0">
                  <c:v>Small</c:v>
                </c:pt>
              </c:strCache>
            </c:strRef>
          </c:tx>
          <c:spPr>
            <a:solidFill>
              <a:srgbClr val="00B0F0"/>
            </a:solidFill>
            <a:ln>
              <a:noFill/>
            </a:ln>
            <a:effectLst/>
          </c:spPr>
          <c:invertIfNegative val="0"/>
          <c:cat>
            <c:strRef>
              <c:f>piv.tables!$AL$3:$AL$33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piv.tables!$AN$3:$AN$33</c:f>
              <c:numCache>
                <c:formatCode>General</c:formatCode>
                <c:ptCount val="31"/>
                <c:pt idx="1">
                  <c:v>3</c:v>
                </c:pt>
                <c:pt idx="2">
                  <c:v>2</c:v>
                </c:pt>
                <c:pt idx="3">
                  <c:v>1</c:v>
                </c:pt>
                <c:pt idx="4">
                  <c:v>5</c:v>
                </c:pt>
                <c:pt idx="7">
                  <c:v>3</c:v>
                </c:pt>
                <c:pt idx="9">
                  <c:v>5</c:v>
                </c:pt>
                <c:pt idx="10">
                  <c:v>3</c:v>
                </c:pt>
                <c:pt idx="12">
                  <c:v>2</c:v>
                </c:pt>
                <c:pt idx="14">
                  <c:v>3</c:v>
                </c:pt>
                <c:pt idx="17">
                  <c:v>2</c:v>
                </c:pt>
                <c:pt idx="19">
                  <c:v>18</c:v>
                </c:pt>
                <c:pt idx="20">
                  <c:v>1</c:v>
                </c:pt>
                <c:pt idx="21">
                  <c:v>7</c:v>
                </c:pt>
                <c:pt idx="22">
                  <c:v>23</c:v>
                </c:pt>
                <c:pt idx="23">
                  <c:v>4</c:v>
                </c:pt>
                <c:pt idx="24">
                  <c:v>57</c:v>
                </c:pt>
                <c:pt idx="25">
                  <c:v>14</c:v>
                </c:pt>
                <c:pt idx="26">
                  <c:v>1</c:v>
                </c:pt>
                <c:pt idx="27">
                  <c:v>1</c:v>
                </c:pt>
                <c:pt idx="28">
                  <c:v>3</c:v>
                </c:pt>
                <c:pt idx="29">
                  <c:v>26</c:v>
                </c:pt>
              </c:numCache>
            </c:numRef>
          </c:val>
          <c:extLst>
            <c:ext xmlns:c16="http://schemas.microsoft.com/office/drawing/2014/chart" uri="{C3380CC4-5D6E-409C-BE32-E72D297353CC}">
              <c16:uniqueId val="{00000010-DFC3-42F2-9E5C-73ADB73C0795}"/>
            </c:ext>
          </c:extLst>
        </c:ser>
        <c:ser>
          <c:idx val="2"/>
          <c:order val="2"/>
          <c:tx>
            <c:strRef>
              <c:f>piv.tables!$AO$1:$AO$2</c:f>
              <c:strCache>
                <c:ptCount val="1"/>
                <c:pt idx="0">
                  <c:v>Family</c:v>
                </c:pt>
              </c:strCache>
            </c:strRef>
          </c:tx>
          <c:spPr>
            <a:solidFill>
              <a:srgbClr val="FFFF00"/>
            </a:solidFill>
            <a:ln>
              <a:noFill/>
            </a:ln>
            <a:effectLst/>
          </c:spPr>
          <c:invertIfNegative val="0"/>
          <c:cat>
            <c:strRef>
              <c:f>piv.tables!$AL$3:$AL$33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piv.tables!$AO$3:$AO$33</c:f>
              <c:numCache>
                <c:formatCode>General</c:formatCode>
                <c:ptCount val="31"/>
                <c:pt idx="0">
                  <c:v>23</c:v>
                </c:pt>
                <c:pt idx="1">
                  <c:v>1</c:v>
                </c:pt>
                <c:pt idx="2">
                  <c:v>16</c:v>
                </c:pt>
                <c:pt idx="4">
                  <c:v>34</c:v>
                </c:pt>
                <c:pt idx="6">
                  <c:v>20</c:v>
                </c:pt>
                <c:pt idx="7">
                  <c:v>44</c:v>
                </c:pt>
                <c:pt idx="9">
                  <c:v>53</c:v>
                </c:pt>
                <c:pt idx="10">
                  <c:v>45</c:v>
                </c:pt>
                <c:pt idx="11">
                  <c:v>8</c:v>
                </c:pt>
                <c:pt idx="12">
                  <c:v>30</c:v>
                </c:pt>
                <c:pt idx="13">
                  <c:v>38</c:v>
                </c:pt>
                <c:pt idx="14">
                  <c:v>14</c:v>
                </c:pt>
                <c:pt idx="15">
                  <c:v>71</c:v>
                </c:pt>
                <c:pt idx="16">
                  <c:v>4</c:v>
                </c:pt>
                <c:pt idx="17">
                  <c:v>2</c:v>
                </c:pt>
                <c:pt idx="18">
                  <c:v>4</c:v>
                </c:pt>
                <c:pt idx="19">
                  <c:v>56</c:v>
                </c:pt>
                <c:pt idx="20">
                  <c:v>20</c:v>
                </c:pt>
                <c:pt idx="21">
                  <c:v>53</c:v>
                </c:pt>
                <c:pt idx="22">
                  <c:v>113</c:v>
                </c:pt>
                <c:pt idx="23">
                  <c:v>50</c:v>
                </c:pt>
                <c:pt idx="24">
                  <c:v>22</c:v>
                </c:pt>
                <c:pt idx="25">
                  <c:v>16</c:v>
                </c:pt>
                <c:pt idx="26">
                  <c:v>33</c:v>
                </c:pt>
                <c:pt idx="27">
                  <c:v>9</c:v>
                </c:pt>
                <c:pt idx="28">
                  <c:v>57</c:v>
                </c:pt>
                <c:pt idx="29">
                  <c:v>135</c:v>
                </c:pt>
                <c:pt idx="30">
                  <c:v>6</c:v>
                </c:pt>
              </c:numCache>
            </c:numRef>
          </c:val>
          <c:extLst>
            <c:ext xmlns:c16="http://schemas.microsoft.com/office/drawing/2014/chart" uri="{C3380CC4-5D6E-409C-BE32-E72D297353CC}">
              <c16:uniqueId val="{00000001-67F3-4572-AA5F-90F13C1CCE3F}"/>
            </c:ext>
          </c:extLst>
        </c:ser>
        <c:ser>
          <c:idx val="3"/>
          <c:order val="3"/>
          <c:tx>
            <c:strRef>
              <c:f>piv.tables!$AP$1:$AP$2</c:f>
              <c:strCache>
                <c:ptCount val="1"/>
                <c:pt idx="0">
                  <c:v>Van/Bus</c:v>
                </c:pt>
              </c:strCache>
            </c:strRef>
          </c:tx>
          <c:spPr>
            <a:solidFill>
              <a:srgbClr val="C00000"/>
            </a:solidFill>
            <a:ln>
              <a:noFill/>
            </a:ln>
            <a:effectLst/>
          </c:spPr>
          <c:invertIfNegative val="0"/>
          <c:cat>
            <c:strRef>
              <c:f>piv.tables!$AL$3:$AL$33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piv.tables!$AP$3:$AP$33</c:f>
              <c:numCache>
                <c:formatCode>General</c:formatCode>
                <c:ptCount val="31"/>
                <c:pt idx="7">
                  <c:v>6</c:v>
                </c:pt>
                <c:pt idx="9">
                  <c:v>2</c:v>
                </c:pt>
                <c:pt idx="10">
                  <c:v>11</c:v>
                </c:pt>
                <c:pt idx="11">
                  <c:v>1</c:v>
                </c:pt>
                <c:pt idx="14">
                  <c:v>2</c:v>
                </c:pt>
                <c:pt idx="15">
                  <c:v>5</c:v>
                </c:pt>
                <c:pt idx="22">
                  <c:v>5</c:v>
                </c:pt>
                <c:pt idx="28">
                  <c:v>1</c:v>
                </c:pt>
                <c:pt idx="29">
                  <c:v>2</c:v>
                </c:pt>
              </c:numCache>
            </c:numRef>
          </c:val>
          <c:extLst>
            <c:ext xmlns:c16="http://schemas.microsoft.com/office/drawing/2014/chart" uri="{C3380CC4-5D6E-409C-BE32-E72D297353CC}">
              <c16:uniqueId val="{00000000-0781-406E-B4DA-5D41357067CF}"/>
            </c:ext>
          </c:extLst>
        </c:ser>
        <c:dLbls>
          <c:showLegendKey val="0"/>
          <c:showVal val="0"/>
          <c:showCatName val="0"/>
          <c:showSerName val="0"/>
          <c:showPercent val="0"/>
          <c:showBubbleSize val="0"/>
        </c:dLbls>
        <c:gapWidth val="219"/>
        <c:overlap val="-27"/>
        <c:axId val="1247328384"/>
        <c:axId val="1247350464"/>
      </c:barChart>
      <c:catAx>
        <c:axId val="12473283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47350464"/>
        <c:crosses val="autoZero"/>
        <c:auto val="1"/>
        <c:lblAlgn val="ctr"/>
        <c:lblOffset val="100"/>
        <c:noMultiLvlLbl val="0"/>
      </c:catAx>
      <c:valAx>
        <c:axId val="1247350464"/>
        <c:scaling>
          <c:orientation val="minMax"/>
        </c:scaling>
        <c:delete val="0"/>
        <c:axPos val="l"/>
        <c:majorGridlines>
          <c:spPr>
            <a:ln w="9525" cap="flat" cmpd="sng" algn="ctr">
              <a:solidFill>
                <a:sysClr val="windowText" lastClr="000000">
                  <a:lumMod val="15000"/>
                  <a:lumOff val="85000"/>
                  <a:alpha val="10000"/>
                </a:sys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47328384"/>
        <c:crosses val="autoZero"/>
        <c:crossBetween val="between"/>
      </c:valAx>
      <c:spPr>
        <a:noFill/>
        <a:ln>
          <a:noFill/>
        </a:ln>
        <a:effectLst/>
      </c:spPr>
    </c:plotArea>
    <c:legend>
      <c:legendPos val="t"/>
      <c:layout>
        <c:manualLayout>
          <c:xMode val="edge"/>
          <c:yMode val="edge"/>
          <c:x val="0.21749914752908564"/>
          <c:y val="5.8105305164228925E-2"/>
          <c:w val="0.26831939049130299"/>
          <c:h val="5.7966208692307723E-2"/>
        </c:manualLayout>
      </c:layout>
      <c:overlay val="1"/>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53B50"/>
    </a:solidFill>
    <a:ln w="9525" cap="flat" cmpd="sng" algn="ctr">
      <a:solidFill>
        <a:schemeClr val="tx1">
          <a:lumMod val="15000"/>
          <a:lumOff val="85000"/>
        </a:schemeClr>
      </a:solidFill>
      <a:round/>
    </a:ln>
    <a:effectLst/>
  </c:spPr>
  <c:txPr>
    <a:bodyPr/>
    <a:lstStyle/>
    <a:p>
      <a:pPr>
        <a:defRPr b="1">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[cars.xlsx]piv.tables!categoryCompany</c:name>
    <c:fmtId val="7"/>
  </c:pivotSource>
  <c:chart>
    <c:title>
      <c:tx>
        <c:rich>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mn-lt"/>
                <a:ea typeface="+mn-ea"/>
                <a:cs typeface="+mn-cs"/>
              </a:defRPr>
            </a:pPr>
            <a:r>
              <a:rPr lang="en-US">
                <a:solidFill>
                  <a:schemeClr val="accent6">
                    <a:lumMod val="60000"/>
                    <a:lumOff val="40000"/>
                  </a:schemeClr>
                </a:solidFill>
              </a:rPr>
              <a:t>car count by cateogory</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6">
                  <a:lumMod val="60000"/>
                  <a:lumOff val="40000"/>
                </a:schemeClr>
              </a:solidFill>
              <a:latin typeface="+mn-lt"/>
              <a:ea typeface="+mn-ea"/>
              <a:cs typeface="+mn-cs"/>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9"/>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5"/>
        <c:spPr>
          <a:solidFill>
            <a:srgbClr val="196B24">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rgbClr val="FF006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rgbClr val="196B24">
              <a:lumMod val="50000"/>
            </a:srgb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95000"/>
                      <a:lumOff val="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2"/>
        <c:spPr>
          <a:solidFill>
            <a:srgbClr val="7030A0"/>
          </a:solidFill>
          <a:ln>
            <a:noFill/>
          </a:ln>
          <a:effectLst/>
        </c:spPr>
      </c:pivotFmt>
    </c:pivotFmts>
    <c:plotArea>
      <c:layout/>
      <c:barChart>
        <c:barDir val="col"/>
        <c:grouping val="clustered"/>
        <c:varyColors val="0"/>
        <c:ser>
          <c:idx val="0"/>
          <c:order val="0"/>
          <c:tx>
            <c:strRef>
              <c:f>piv.tables!$AU$1:$AU$2</c:f>
              <c:strCache>
                <c:ptCount val="1"/>
                <c:pt idx="0">
                  <c:v>Economic Compact</c:v>
                </c:pt>
              </c:strCache>
            </c:strRef>
          </c:tx>
          <c:spPr>
            <a:solidFill>
              <a:srgbClr val="196B24">
                <a:lumMod val="50000"/>
              </a:srgbClr>
            </a:solidFill>
            <a:ln>
              <a:noFill/>
            </a:ln>
            <a:effectLst/>
          </c:spPr>
          <c:invertIfNegative val="0"/>
          <c:cat>
            <c:strRef>
              <c:f>piv.tables!$AT$3:$AT$33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piv.tables!$AU$3:$AU$33</c:f>
              <c:numCache>
                <c:formatCode>General</c:formatCode>
                <c:ptCount val="31"/>
                <c:pt idx="7">
                  <c:v>4</c:v>
                </c:pt>
                <c:pt idx="9">
                  <c:v>3</c:v>
                </c:pt>
                <c:pt idx="11">
                  <c:v>1</c:v>
                </c:pt>
                <c:pt idx="12">
                  <c:v>7</c:v>
                </c:pt>
                <c:pt idx="15">
                  <c:v>6</c:v>
                </c:pt>
                <c:pt idx="18">
                  <c:v>3</c:v>
                </c:pt>
                <c:pt idx="19">
                  <c:v>29</c:v>
                </c:pt>
                <c:pt idx="21">
                  <c:v>13</c:v>
                </c:pt>
                <c:pt idx="22">
                  <c:v>28</c:v>
                </c:pt>
                <c:pt idx="26">
                  <c:v>15</c:v>
                </c:pt>
                <c:pt idx="28">
                  <c:v>2</c:v>
                </c:pt>
                <c:pt idx="29">
                  <c:v>14</c:v>
                </c:pt>
              </c:numCache>
            </c:numRef>
          </c:val>
          <c:extLst>
            <c:ext xmlns:c16="http://schemas.microsoft.com/office/drawing/2014/chart" uri="{C3380CC4-5D6E-409C-BE32-E72D297353CC}">
              <c16:uniqueId val="{0000000E-EEB8-4066-BEE9-940A7B8B8A5E}"/>
            </c:ext>
          </c:extLst>
        </c:ser>
        <c:ser>
          <c:idx val="1"/>
          <c:order val="1"/>
          <c:tx>
            <c:strRef>
              <c:f>piv.tables!$AV$1:$AV$2</c:f>
              <c:strCache>
                <c:ptCount val="1"/>
                <c:pt idx="0">
                  <c:v>Family Utility</c:v>
                </c:pt>
              </c:strCache>
            </c:strRef>
          </c:tx>
          <c:spPr>
            <a:solidFill>
              <a:srgbClr val="FFFF00"/>
            </a:solidFill>
            <a:ln>
              <a:noFill/>
            </a:ln>
            <a:effectLst/>
          </c:spPr>
          <c:invertIfNegative val="0"/>
          <c:cat>
            <c:strRef>
              <c:f>piv.tables!$AT$3:$AT$33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piv.tables!$AV$3:$AV$33</c:f>
              <c:numCache>
                <c:formatCode>General</c:formatCode>
                <c:ptCount val="31"/>
                <c:pt idx="9">
                  <c:v>3</c:v>
                </c:pt>
                <c:pt idx="12">
                  <c:v>2</c:v>
                </c:pt>
                <c:pt idx="15">
                  <c:v>1</c:v>
                </c:pt>
                <c:pt idx="19">
                  <c:v>2</c:v>
                </c:pt>
                <c:pt idx="21">
                  <c:v>6</c:v>
                </c:pt>
                <c:pt idx="22">
                  <c:v>2</c:v>
                </c:pt>
                <c:pt idx="28">
                  <c:v>6</c:v>
                </c:pt>
              </c:numCache>
            </c:numRef>
          </c:val>
          <c:extLst>
            <c:ext xmlns:c16="http://schemas.microsoft.com/office/drawing/2014/chart" uri="{C3380CC4-5D6E-409C-BE32-E72D297353CC}">
              <c16:uniqueId val="{00000018-EEB8-4066-BEE9-940A7B8B8A5E}"/>
            </c:ext>
          </c:extLst>
        </c:ser>
        <c:ser>
          <c:idx val="2"/>
          <c:order val="2"/>
          <c:tx>
            <c:strRef>
              <c:f>piv.tables!$AW$1:$AW$2</c:f>
              <c:strCache>
                <c:ptCount val="1"/>
                <c:pt idx="0">
                  <c:v>Green Tech</c:v>
                </c:pt>
              </c:strCache>
            </c:strRef>
          </c:tx>
          <c:spPr>
            <a:solidFill>
              <a:srgbClr val="FF0066"/>
            </a:solidFill>
            <a:ln>
              <a:noFill/>
            </a:ln>
            <a:effectLst/>
          </c:spPr>
          <c:invertIfNegative val="0"/>
          <c:cat>
            <c:strRef>
              <c:f>piv.tables!$AT$3:$AT$33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piv.tables!$AW$3:$AW$33</c:f>
              <c:numCache>
                <c:formatCode>General</c:formatCode>
                <c:ptCount val="31"/>
                <c:pt idx="7">
                  <c:v>4</c:v>
                </c:pt>
                <c:pt idx="9">
                  <c:v>1</c:v>
                </c:pt>
                <c:pt idx="12">
                  <c:v>5</c:v>
                </c:pt>
                <c:pt idx="15">
                  <c:v>2</c:v>
                </c:pt>
                <c:pt idx="19">
                  <c:v>1</c:v>
                </c:pt>
                <c:pt idx="21">
                  <c:v>2</c:v>
                </c:pt>
                <c:pt idx="23">
                  <c:v>5</c:v>
                </c:pt>
                <c:pt idx="26">
                  <c:v>4</c:v>
                </c:pt>
                <c:pt idx="27">
                  <c:v>2</c:v>
                </c:pt>
                <c:pt idx="28">
                  <c:v>4</c:v>
                </c:pt>
                <c:pt idx="29">
                  <c:v>18</c:v>
                </c:pt>
              </c:numCache>
            </c:numRef>
          </c:val>
          <c:extLst>
            <c:ext xmlns:c16="http://schemas.microsoft.com/office/drawing/2014/chart" uri="{C3380CC4-5D6E-409C-BE32-E72D297353CC}">
              <c16:uniqueId val="{00000000-55BB-4C09-9D25-2F09200C523D}"/>
            </c:ext>
          </c:extLst>
        </c:ser>
        <c:ser>
          <c:idx val="3"/>
          <c:order val="3"/>
          <c:tx>
            <c:strRef>
              <c:f>piv.tables!$AX$1:$AX$2</c:f>
              <c:strCache>
                <c:ptCount val="1"/>
                <c:pt idx="0">
                  <c:v>Luxury Performance</c:v>
                </c:pt>
              </c:strCache>
            </c:strRef>
          </c:tx>
          <c:spPr>
            <a:solidFill>
              <a:srgbClr val="196B24">
                <a:lumMod val="50000"/>
              </a:srgbClr>
            </a:solidFill>
            <a:ln>
              <a:noFill/>
            </a:ln>
            <a:effectLst/>
          </c:spPr>
          <c:invertIfNegative val="0"/>
          <c:cat>
            <c:strRef>
              <c:f>piv.tables!$AT$3:$AT$33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piv.tables!$AX$3:$AX$33</c:f>
              <c:numCache>
                <c:formatCode>General</c:formatCode>
                <c:ptCount val="31"/>
                <c:pt idx="0">
                  <c:v>3</c:v>
                </c:pt>
                <c:pt idx="1">
                  <c:v>3</c:v>
                </c:pt>
                <c:pt idx="2">
                  <c:v>12</c:v>
                </c:pt>
                <c:pt idx="3">
                  <c:v>1</c:v>
                </c:pt>
                <c:pt idx="4">
                  <c:v>5</c:v>
                </c:pt>
                <c:pt idx="6">
                  <c:v>10</c:v>
                </c:pt>
                <c:pt idx="7">
                  <c:v>17</c:v>
                </c:pt>
                <c:pt idx="9">
                  <c:v>21</c:v>
                </c:pt>
                <c:pt idx="10">
                  <c:v>30</c:v>
                </c:pt>
                <c:pt idx="13">
                  <c:v>25</c:v>
                </c:pt>
                <c:pt idx="14">
                  <c:v>7</c:v>
                </c:pt>
                <c:pt idx="15">
                  <c:v>4</c:v>
                </c:pt>
                <c:pt idx="19">
                  <c:v>1</c:v>
                </c:pt>
                <c:pt idx="20">
                  <c:v>12</c:v>
                </c:pt>
                <c:pt idx="22">
                  <c:v>26</c:v>
                </c:pt>
                <c:pt idx="23">
                  <c:v>4</c:v>
                </c:pt>
                <c:pt idx="24">
                  <c:v>46</c:v>
                </c:pt>
                <c:pt idx="25">
                  <c:v>30</c:v>
                </c:pt>
                <c:pt idx="27">
                  <c:v>1</c:v>
                </c:pt>
                <c:pt idx="28">
                  <c:v>6</c:v>
                </c:pt>
                <c:pt idx="29">
                  <c:v>7</c:v>
                </c:pt>
                <c:pt idx="30">
                  <c:v>7</c:v>
                </c:pt>
              </c:numCache>
            </c:numRef>
          </c:val>
          <c:extLst>
            <c:ext xmlns:c16="http://schemas.microsoft.com/office/drawing/2014/chart" uri="{C3380CC4-5D6E-409C-BE32-E72D297353CC}">
              <c16:uniqueId val="{00000001-55BB-4C09-9D25-2F09200C523D}"/>
            </c:ext>
          </c:extLst>
        </c:ser>
        <c:ser>
          <c:idx val="4"/>
          <c:order val="4"/>
          <c:tx>
            <c:strRef>
              <c:f>piv.tables!$AY$1:$AY$2</c:f>
              <c:strCache>
                <c:ptCount val="1"/>
                <c:pt idx="0">
                  <c:v>Sports Car</c:v>
                </c:pt>
              </c:strCache>
            </c:strRef>
          </c:tx>
          <c:spPr>
            <a:solidFill>
              <a:srgbClr val="FFFF00"/>
            </a:solidFill>
            <a:ln>
              <a:noFill/>
            </a:ln>
            <a:effectLst/>
          </c:spPr>
          <c:invertIfNegative val="0"/>
          <c:cat>
            <c:strRef>
              <c:f>piv.tables!$AT$3:$AT$33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piv.tables!$AY$3:$AY$33</c:f>
              <c:numCache>
                <c:formatCode>General</c:formatCode>
                <c:ptCount val="31"/>
                <c:pt idx="0">
                  <c:v>4</c:v>
                </c:pt>
                <c:pt idx="1">
                  <c:v>8</c:v>
                </c:pt>
                <c:pt idx="2">
                  <c:v>4</c:v>
                </c:pt>
                <c:pt idx="4">
                  <c:v>8</c:v>
                </c:pt>
                <c:pt idx="5">
                  <c:v>10</c:v>
                </c:pt>
                <c:pt idx="6">
                  <c:v>2</c:v>
                </c:pt>
                <c:pt idx="7">
                  <c:v>4</c:v>
                </c:pt>
                <c:pt idx="8">
                  <c:v>9</c:v>
                </c:pt>
                <c:pt idx="9">
                  <c:v>4</c:v>
                </c:pt>
                <c:pt idx="10">
                  <c:v>7</c:v>
                </c:pt>
                <c:pt idx="13">
                  <c:v>5</c:v>
                </c:pt>
                <c:pt idx="15">
                  <c:v>1</c:v>
                </c:pt>
                <c:pt idx="16">
                  <c:v>24</c:v>
                </c:pt>
                <c:pt idx="19">
                  <c:v>1</c:v>
                </c:pt>
                <c:pt idx="20">
                  <c:v>4</c:v>
                </c:pt>
                <c:pt idx="22">
                  <c:v>8</c:v>
                </c:pt>
                <c:pt idx="24">
                  <c:v>42</c:v>
                </c:pt>
                <c:pt idx="27">
                  <c:v>7</c:v>
                </c:pt>
              </c:numCache>
            </c:numRef>
          </c:val>
          <c:extLst>
            <c:ext xmlns:c16="http://schemas.microsoft.com/office/drawing/2014/chart" uri="{C3380CC4-5D6E-409C-BE32-E72D297353CC}">
              <c16:uniqueId val="{00000002-55BB-4C09-9D25-2F09200C523D}"/>
            </c:ext>
          </c:extLst>
        </c:ser>
        <c:ser>
          <c:idx val="5"/>
          <c:order val="5"/>
          <c:tx>
            <c:strRef>
              <c:f>piv.tables!$AZ$1:$AZ$2</c:f>
              <c:strCache>
                <c:ptCount val="1"/>
                <c:pt idx="0">
                  <c:v>Other</c:v>
                </c:pt>
              </c:strCache>
            </c:strRef>
          </c:tx>
          <c:spPr>
            <a:solidFill>
              <a:srgbClr val="7030A0"/>
            </a:solidFill>
            <a:ln>
              <a:noFill/>
            </a:ln>
            <a:effectLst/>
          </c:spPr>
          <c:invertIfNegative val="0"/>
          <c:dPt>
            <c:idx val="14"/>
            <c:invertIfNegative val="0"/>
            <c:bubble3D val="0"/>
            <c:extLst>
              <c:ext xmlns:c16="http://schemas.microsoft.com/office/drawing/2014/chart" uri="{C3380CC4-5D6E-409C-BE32-E72D297353CC}">
                <c16:uniqueId val="{00000000-7A94-4084-B890-AC7663C5B219}"/>
              </c:ext>
            </c:extLst>
          </c:dPt>
          <c:cat>
            <c:strRef>
              <c:f>piv.tables!$AT$3:$AT$33</c:f>
              <c:strCache>
                <c:ptCount val="31"/>
                <c:pt idx="0">
                  <c:v>acura</c:v>
                </c:pt>
                <c:pt idx="1">
                  <c:v>aston martin</c:v>
                </c:pt>
                <c:pt idx="2">
                  <c:v>audi</c:v>
                </c:pt>
                <c:pt idx="3">
                  <c:v>bentley</c:v>
                </c:pt>
                <c:pt idx="4">
                  <c:v>bmw</c:v>
                </c:pt>
                <c:pt idx="5">
                  <c:v>bugatti</c:v>
                </c:pt>
                <c:pt idx="6">
                  <c:v>cadillac</c:v>
                </c:pt>
                <c:pt idx="7">
                  <c:v>chevrolet</c:v>
                </c:pt>
                <c:pt idx="8">
                  <c:v>ferrari</c:v>
                </c:pt>
                <c:pt idx="9">
                  <c:v>ford</c:v>
                </c:pt>
                <c:pt idx="10">
                  <c:v>gmc</c:v>
                </c:pt>
                <c:pt idx="11">
                  <c:v>honda</c:v>
                </c:pt>
                <c:pt idx="12">
                  <c:v>hyundai</c:v>
                </c:pt>
                <c:pt idx="13">
                  <c:v>jaguar land rover</c:v>
                </c:pt>
                <c:pt idx="14">
                  <c:v>jeep</c:v>
                </c:pt>
                <c:pt idx="15">
                  <c:v>kia</c:v>
                </c:pt>
                <c:pt idx="16">
                  <c:v>lamborghini</c:v>
                </c:pt>
                <c:pt idx="17">
                  <c:v>mahindra</c:v>
                </c:pt>
                <c:pt idx="18">
                  <c:v>maruti suzuki</c:v>
                </c:pt>
                <c:pt idx="19">
                  <c:v>mazda</c:v>
                </c:pt>
                <c:pt idx="20">
                  <c:v>mercedes</c:v>
                </c:pt>
                <c:pt idx="21">
                  <c:v>mitsubishi</c:v>
                </c:pt>
                <c:pt idx="22">
                  <c:v>nissan</c:v>
                </c:pt>
                <c:pt idx="23">
                  <c:v>peugeot</c:v>
                </c:pt>
                <c:pt idx="24">
                  <c:v>porsche</c:v>
                </c:pt>
                <c:pt idx="25">
                  <c:v>rolls royce</c:v>
                </c:pt>
                <c:pt idx="26">
                  <c:v>tata motors</c:v>
                </c:pt>
                <c:pt idx="27">
                  <c:v>tesla</c:v>
                </c:pt>
                <c:pt idx="28">
                  <c:v>toyota</c:v>
                </c:pt>
                <c:pt idx="29">
                  <c:v>volkswagen</c:v>
                </c:pt>
                <c:pt idx="30">
                  <c:v>volvo</c:v>
                </c:pt>
              </c:strCache>
            </c:strRef>
          </c:cat>
          <c:val>
            <c:numRef>
              <c:f>piv.tables!$AZ$3:$AZ$33</c:f>
              <c:numCache>
                <c:formatCode>General</c:formatCode>
                <c:ptCount val="31"/>
                <c:pt idx="0">
                  <c:v>20</c:v>
                </c:pt>
                <c:pt idx="2">
                  <c:v>5</c:v>
                </c:pt>
                <c:pt idx="4">
                  <c:v>28</c:v>
                </c:pt>
                <c:pt idx="6">
                  <c:v>8</c:v>
                </c:pt>
                <c:pt idx="7">
                  <c:v>27</c:v>
                </c:pt>
                <c:pt idx="9">
                  <c:v>39</c:v>
                </c:pt>
                <c:pt idx="10">
                  <c:v>22</c:v>
                </c:pt>
                <c:pt idx="11">
                  <c:v>8</c:v>
                </c:pt>
                <c:pt idx="12">
                  <c:v>18</c:v>
                </c:pt>
                <c:pt idx="13">
                  <c:v>20</c:v>
                </c:pt>
                <c:pt idx="14">
                  <c:v>12</c:v>
                </c:pt>
                <c:pt idx="15">
                  <c:v>62</c:v>
                </c:pt>
                <c:pt idx="17">
                  <c:v>4</c:v>
                </c:pt>
                <c:pt idx="18">
                  <c:v>1</c:v>
                </c:pt>
                <c:pt idx="19">
                  <c:v>56</c:v>
                </c:pt>
                <c:pt idx="20">
                  <c:v>5</c:v>
                </c:pt>
                <c:pt idx="21">
                  <c:v>43</c:v>
                </c:pt>
                <c:pt idx="22">
                  <c:v>95</c:v>
                </c:pt>
                <c:pt idx="23">
                  <c:v>45</c:v>
                </c:pt>
                <c:pt idx="24">
                  <c:v>8</c:v>
                </c:pt>
                <c:pt idx="26">
                  <c:v>15</c:v>
                </c:pt>
                <c:pt idx="28">
                  <c:v>46</c:v>
                </c:pt>
                <c:pt idx="29">
                  <c:v>128</c:v>
                </c:pt>
                <c:pt idx="30">
                  <c:v>8</c:v>
                </c:pt>
              </c:numCache>
            </c:numRef>
          </c:val>
          <c:extLst>
            <c:ext xmlns:c16="http://schemas.microsoft.com/office/drawing/2014/chart" uri="{C3380CC4-5D6E-409C-BE32-E72D297353CC}">
              <c16:uniqueId val="{00000003-55BB-4C09-9D25-2F09200C523D}"/>
            </c:ext>
          </c:extLst>
        </c:ser>
        <c:dLbls>
          <c:showLegendKey val="0"/>
          <c:showVal val="0"/>
          <c:showCatName val="0"/>
          <c:showSerName val="0"/>
          <c:showPercent val="0"/>
          <c:showBubbleSize val="0"/>
        </c:dLbls>
        <c:gapWidth val="219"/>
        <c:overlap val="-27"/>
        <c:axId val="1247405664"/>
        <c:axId val="1247399424"/>
      </c:barChart>
      <c:catAx>
        <c:axId val="1247405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247399424"/>
        <c:crosses val="autoZero"/>
        <c:auto val="1"/>
        <c:lblAlgn val="ctr"/>
        <c:lblOffset val="100"/>
        <c:noMultiLvlLbl val="0"/>
      </c:catAx>
      <c:valAx>
        <c:axId val="1247399424"/>
        <c:scaling>
          <c:orientation val="minMax"/>
        </c:scaling>
        <c:delete val="0"/>
        <c:axPos val="l"/>
        <c:majorGridlines>
          <c:spPr>
            <a:ln w="9525" cap="flat" cmpd="sng" algn="ctr">
              <a:solidFill>
                <a:sysClr val="windowText" lastClr="000000">
                  <a:lumMod val="15000"/>
                  <a:lumOff val="85000"/>
                  <a:alpha val="10000"/>
                </a:sys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1247405664"/>
        <c:crosses val="autoZero"/>
        <c:crossBetween val="between"/>
      </c:valAx>
      <c:spPr>
        <a:noFill/>
        <a:ln>
          <a:noFill/>
        </a:ln>
        <a:effectLst/>
      </c:spPr>
    </c:plotArea>
    <c:legend>
      <c:legendPos val="t"/>
      <c:layout>
        <c:manualLayout>
          <c:xMode val="edge"/>
          <c:yMode val="edge"/>
          <c:x val="0.31353654439141831"/>
          <c:y val="0.15304769528273601"/>
          <c:w val="0.40887158329105167"/>
          <c:h val="9.6716763850962131E-2"/>
        </c:manualLayout>
      </c:layout>
      <c:overlay val="1"/>
      <c:spPr>
        <a:noFill/>
        <a:ln>
          <a:noFill/>
        </a:ln>
        <a:effectLst/>
      </c:spPr>
      <c:txPr>
        <a:bodyPr rot="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353B50"/>
    </a:solidFill>
    <a:ln w="9525" cap="flat" cmpd="sng" algn="ctr">
      <a:solidFill>
        <a:schemeClr val="tx1">
          <a:lumMod val="15000"/>
          <a:lumOff val="85000"/>
        </a:schemeClr>
      </a:solidFill>
      <a:round/>
    </a:ln>
    <a:effectLst/>
  </c:spPr>
  <c:txPr>
    <a:bodyPr/>
    <a:lstStyle/>
    <a:p>
      <a:pPr>
        <a:defRPr b="1">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13</xdr:col>
      <xdr:colOff>52821</xdr:colOff>
      <xdr:row>19</xdr:row>
      <xdr:rowOff>48301</xdr:rowOff>
    </xdr:from>
    <xdr:to>
      <xdr:col>22</xdr:col>
      <xdr:colOff>0</xdr:colOff>
      <xdr:row>32</xdr:row>
      <xdr:rowOff>29993</xdr:rowOff>
    </xdr:to>
    <xdr:graphicFrame macro="">
      <xdr:nvGraphicFramePr>
        <xdr:cNvPr id="3" name="Chart 2">
          <a:extLst>
            <a:ext uri="{FF2B5EF4-FFF2-40B4-BE49-F238E27FC236}">
              <a16:creationId xmlns:a16="http://schemas.microsoft.com/office/drawing/2014/main" id="{9A5C3AF0-D5C4-45E8-A10B-E3BC123427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7</xdr:row>
      <xdr:rowOff>2317</xdr:rowOff>
    </xdr:from>
    <xdr:to>
      <xdr:col>8</xdr:col>
      <xdr:colOff>104775</xdr:colOff>
      <xdr:row>19</xdr:row>
      <xdr:rowOff>0</xdr:rowOff>
    </xdr:to>
    <xdr:graphicFrame macro="">
      <xdr:nvGraphicFramePr>
        <xdr:cNvPr id="10" name="Top 10 Cars by Price">
          <a:extLst>
            <a:ext uri="{FF2B5EF4-FFF2-40B4-BE49-F238E27FC236}">
              <a16:creationId xmlns:a16="http://schemas.microsoft.com/office/drawing/2014/main" id="{E2C8A886-D606-4D10-9084-076E1A87EC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143077</xdr:colOff>
      <xdr:row>7</xdr:row>
      <xdr:rowOff>2317</xdr:rowOff>
    </xdr:from>
    <xdr:to>
      <xdr:col>14</xdr:col>
      <xdr:colOff>76200</xdr:colOff>
      <xdr:row>19</xdr:row>
      <xdr:rowOff>0</xdr:rowOff>
    </xdr:to>
    <xdr:graphicFrame macro="">
      <xdr:nvGraphicFramePr>
        <xdr:cNvPr id="11" name="bottom 10 Cars by Price">
          <a:extLst>
            <a:ext uri="{FF2B5EF4-FFF2-40B4-BE49-F238E27FC236}">
              <a16:creationId xmlns:a16="http://schemas.microsoft.com/office/drawing/2014/main" id="{19EE22F4-5845-47D6-92B2-A42DBAB13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278823</xdr:colOff>
      <xdr:row>19</xdr:row>
      <xdr:rowOff>46757</xdr:rowOff>
    </xdr:from>
    <xdr:to>
      <xdr:col>13</xdr:col>
      <xdr:colOff>2598</xdr:colOff>
      <xdr:row>32</xdr:row>
      <xdr:rowOff>0</xdr:rowOff>
    </xdr:to>
    <xdr:graphicFrame macro="">
      <xdr:nvGraphicFramePr>
        <xdr:cNvPr id="12" name="avg pirce by compnay">
          <a:extLst>
            <a:ext uri="{FF2B5EF4-FFF2-40B4-BE49-F238E27FC236}">
              <a16:creationId xmlns:a16="http://schemas.microsoft.com/office/drawing/2014/main" id="{4B272732-D0B5-4DBA-90C5-1833D1FA90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1</xdr:colOff>
      <xdr:row>19</xdr:row>
      <xdr:rowOff>46757</xdr:rowOff>
    </xdr:from>
    <xdr:to>
      <xdr:col>6</xdr:col>
      <xdr:colOff>228601</xdr:colOff>
      <xdr:row>32</xdr:row>
      <xdr:rowOff>0</xdr:rowOff>
    </xdr:to>
    <xdr:graphicFrame macro="">
      <xdr:nvGraphicFramePr>
        <xdr:cNvPr id="2" name="Chart 1">
          <a:extLst>
            <a:ext uri="{FF2B5EF4-FFF2-40B4-BE49-F238E27FC236}">
              <a16:creationId xmlns:a16="http://schemas.microsoft.com/office/drawing/2014/main" id="{A7D77EB4-35BC-4649-A2AB-E7C005074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38100</xdr:colOff>
      <xdr:row>7</xdr:row>
      <xdr:rowOff>9524</xdr:rowOff>
    </xdr:from>
    <xdr:to>
      <xdr:col>1</xdr:col>
      <xdr:colOff>581025</xdr:colOff>
      <xdr:row>32</xdr:row>
      <xdr:rowOff>28576</xdr:rowOff>
    </xdr:to>
    <xdr:grpSp>
      <xdr:nvGrpSpPr>
        <xdr:cNvPr id="18" name="Group 17">
          <a:extLst>
            <a:ext uri="{FF2B5EF4-FFF2-40B4-BE49-F238E27FC236}">
              <a16:creationId xmlns:a16="http://schemas.microsoft.com/office/drawing/2014/main" id="{D24E3C06-CC72-537B-D2C2-9EF60C08CA44}"/>
            </a:ext>
          </a:extLst>
        </xdr:cNvPr>
        <xdr:cNvGrpSpPr/>
      </xdr:nvGrpSpPr>
      <xdr:grpSpPr>
        <a:xfrm>
          <a:off x="38100" y="1343024"/>
          <a:ext cx="1152525" cy="4762501"/>
          <a:chOff x="287167" y="580873"/>
          <a:chExt cx="1554480" cy="4753128"/>
        </a:xfrm>
      </xdr:grpSpPr>
      <mc:AlternateContent xmlns:mc="http://schemas.openxmlformats.org/markup-compatibility/2006" xmlns:a14="http://schemas.microsoft.com/office/drawing/2010/main">
        <mc:Choice Requires="a14">
          <xdr:graphicFrame macro="">
            <xdr:nvGraphicFramePr>
              <xdr:cNvPr id="21" name="CarCategory">
                <a:extLst>
                  <a:ext uri="{FF2B5EF4-FFF2-40B4-BE49-F238E27FC236}">
                    <a16:creationId xmlns:a16="http://schemas.microsoft.com/office/drawing/2014/main" id="{4C6C5B77-A6D4-47EB-BD7A-014617F141D9}"/>
                  </a:ext>
                </a:extLst>
              </xdr:cNvPr>
              <xdr:cNvGraphicFramePr/>
            </xdr:nvGraphicFramePr>
            <xdr:xfrm>
              <a:off x="287167" y="3141122"/>
              <a:ext cx="1554480" cy="1234440"/>
            </xdr:xfrm>
            <a:graphic>
              <a:graphicData uri="http://schemas.microsoft.com/office/drawing/2010/slicer">
                <sle:slicer xmlns:sle="http://schemas.microsoft.com/office/drawing/2010/slicer" name="CarCategory"/>
              </a:graphicData>
            </a:graphic>
          </xdr:graphicFrame>
        </mc:Choice>
        <mc:Fallback xmlns="">
          <xdr:sp macro="" textlink="">
            <xdr:nvSpPr>
              <xdr:cNvPr id="0" name=""/>
              <xdr:cNvSpPr>
                <a:spLocks noTextEdit="1"/>
              </xdr:cNvSpPr>
            </xdr:nvSpPr>
            <xdr:spPr>
              <a:xfrm>
                <a:off x="38100" y="3734497"/>
                <a:ext cx="1150144" cy="1244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2" name="PriceSegment">
                <a:extLst>
                  <a:ext uri="{FF2B5EF4-FFF2-40B4-BE49-F238E27FC236}">
                    <a16:creationId xmlns:a16="http://schemas.microsoft.com/office/drawing/2014/main" id="{572ED89A-8BB7-422E-A4A6-F81A90081D7B}"/>
                  </a:ext>
                </a:extLst>
              </xdr:cNvPr>
              <xdr:cNvGraphicFramePr/>
            </xdr:nvGraphicFramePr>
            <xdr:xfrm>
              <a:off x="287167" y="1878787"/>
              <a:ext cx="1554480" cy="1234440"/>
            </xdr:xfrm>
            <a:graphic>
              <a:graphicData uri="http://schemas.microsoft.com/office/drawing/2010/slicer">
                <sle:slicer xmlns:sle="http://schemas.microsoft.com/office/drawing/2010/slicer" name="PriceSegment"/>
              </a:graphicData>
            </a:graphic>
          </xdr:graphicFrame>
        </mc:Choice>
        <mc:Fallback xmlns="">
          <xdr:sp macro="" textlink="">
            <xdr:nvSpPr>
              <xdr:cNvPr id="0" name=""/>
              <xdr:cNvSpPr>
                <a:spLocks noTextEdit="1"/>
              </xdr:cNvSpPr>
            </xdr:nvSpPr>
            <xdr:spPr>
              <a:xfrm>
                <a:off x="38100" y="2461451"/>
                <a:ext cx="1150144" cy="124491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23" name="SeatCategory">
                <a:extLst>
                  <a:ext uri="{FF2B5EF4-FFF2-40B4-BE49-F238E27FC236}">
                    <a16:creationId xmlns:a16="http://schemas.microsoft.com/office/drawing/2014/main" id="{7F463C34-89B7-4FAE-AD9D-870D78AA951F}"/>
                  </a:ext>
                </a:extLst>
              </xdr:cNvPr>
              <xdr:cNvGraphicFramePr/>
            </xdr:nvGraphicFramePr>
            <xdr:xfrm>
              <a:off x="287167" y="4403456"/>
              <a:ext cx="1554480" cy="930545"/>
            </xdr:xfrm>
            <a:graphic>
              <a:graphicData uri="http://schemas.microsoft.com/office/drawing/2010/slicer">
                <sle:slicer xmlns:sle="http://schemas.microsoft.com/office/drawing/2010/slicer" name="SeatCategory"/>
              </a:graphicData>
            </a:graphic>
          </xdr:graphicFrame>
        </mc:Choice>
        <mc:Fallback xmlns="">
          <xdr:sp macro="" textlink="">
            <xdr:nvSpPr>
              <xdr:cNvPr id="0" name=""/>
              <xdr:cNvSpPr>
                <a:spLocks noTextEdit="1"/>
              </xdr:cNvSpPr>
            </xdr:nvSpPr>
            <xdr:spPr>
              <a:xfrm>
                <a:off x="38100" y="5007541"/>
                <a:ext cx="1150144" cy="93844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4" name="company_names">
                <a:extLst>
                  <a:ext uri="{FF2B5EF4-FFF2-40B4-BE49-F238E27FC236}">
                    <a16:creationId xmlns:a16="http://schemas.microsoft.com/office/drawing/2014/main" id="{01F49D91-1AD9-43D8-B5E3-9B0291D0F08D}"/>
                  </a:ext>
                </a:extLst>
              </xdr:cNvPr>
              <xdr:cNvGraphicFramePr>
                <a:graphicFrameLocks/>
              </xdr:cNvGraphicFramePr>
            </xdr:nvGraphicFramePr>
            <xdr:xfrm>
              <a:off x="287167" y="580873"/>
              <a:ext cx="1554480" cy="1270020"/>
            </xdr:xfrm>
            <a:graphic>
              <a:graphicData uri="http://schemas.microsoft.com/office/drawing/2010/slicer">
                <sle:slicer xmlns:sle="http://schemas.microsoft.com/office/drawing/2010/slicer" name="company_names"/>
              </a:graphicData>
            </a:graphic>
          </xdr:graphicFrame>
        </mc:Choice>
        <mc:Fallback xmlns="">
          <xdr:sp macro="" textlink="">
            <xdr:nvSpPr>
              <xdr:cNvPr id="0" name=""/>
              <xdr:cNvSpPr>
                <a:spLocks noTextEdit="1"/>
              </xdr:cNvSpPr>
            </xdr:nvSpPr>
            <xdr:spPr>
              <a:xfrm>
                <a:off x="38100" y="1343024"/>
                <a:ext cx="1152525" cy="1272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7</xdr:col>
      <xdr:colOff>371475</xdr:colOff>
      <xdr:row>0</xdr:row>
      <xdr:rowOff>95250</xdr:rowOff>
    </xdr:from>
    <xdr:to>
      <xdr:col>13</xdr:col>
      <xdr:colOff>554355</xdr:colOff>
      <xdr:row>2</xdr:row>
      <xdr:rowOff>80010</xdr:rowOff>
    </xdr:to>
    <xdr:sp macro="" textlink="">
      <xdr:nvSpPr>
        <xdr:cNvPr id="5" name="Rectangle: Rounded Corners 4">
          <a:extLst>
            <a:ext uri="{FF2B5EF4-FFF2-40B4-BE49-F238E27FC236}">
              <a16:creationId xmlns:a16="http://schemas.microsoft.com/office/drawing/2014/main" id="{D16A35B4-7E30-F09E-FFA6-A3F96FD20A8B}"/>
            </a:ext>
          </a:extLst>
        </xdr:cNvPr>
        <xdr:cNvSpPr/>
      </xdr:nvSpPr>
      <xdr:spPr>
        <a:xfrm>
          <a:off x="4638675" y="95250"/>
          <a:ext cx="3840480" cy="365760"/>
        </a:xfrm>
        <a:prstGeom prst="roundRect">
          <a:avLst/>
        </a:prstGeom>
        <a:solidFill>
          <a:schemeClr val="tx2">
            <a:lumMod val="75000"/>
            <a:lumOff val="25000"/>
          </a:schemeClr>
        </a:solidFill>
        <a:ln>
          <a:solidFill>
            <a:srgbClr val="F4FA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lumMod val="85000"/>
                </a:schemeClr>
              </a:solidFill>
              <a:effectLst>
                <a:outerShdw blurRad="63500" sx="102000" sy="102000" algn="ctr" rotWithShape="0">
                  <a:prstClr val="black">
                    <a:alpha val="40000"/>
                  </a:prstClr>
                </a:outerShdw>
              </a:effectLst>
              <a:latin typeface="Bahnschrift SemiLight Condensed" panose="020B0502040204020203" pitchFamily="34" charset="0"/>
            </a:rPr>
            <a:t>Car Market &amp; Performance Insights</a:t>
          </a:r>
        </a:p>
      </xdr:txBody>
    </xdr:sp>
    <xdr:clientData/>
  </xdr:twoCellAnchor>
  <xdr:twoCellAnchor editAs="oneCell">
    <xdr:from>
      <xdr:col>0</xdr:col>
      <xdr:colOff>0</xdr:colOff>
      <xdr:row>0</xdr:row>
      <xdr:rowOff>0</xdr:rowOff>
    </xdr:from>
    <xdr:to>
      <xdr:col>2</xdr:col>
      <xdr:colOff>57150</xdr:colOff>
      <xdr:row>6</xdr:row>
      <xdr:rowOff>133350</xdr:rowOff>
    </xdr:to>
    <xdr:pic>
      <xdr:nvPicPr>
        <xdr:cNvPr id="15" name="Picture 14">
          <a:extLst>
            <a:ext uri="{FF2B5EF4-FFF2-40B4-BE49-F238E27FC236}">
              <a16:creationId xmlns:a16="http://schemas.microsoft.com/office/drawing/2014/main" id="{DC973E34-6DBD-E80E-774F-86FA9663D94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0" y="0"/>
          <a:ext cx="1276350" cy="1276350"/>
        </a:xfrm>
        <a:prstGeom prst="rect">
          <a:avLst/>
        </a:prstGeom>
      </xdr:spPr>
    </xdr:pic>
    <xdr:clientData/>
  </xdr:twoCellAnchor>
  <xdr:twoCellAnchor>
    <xdr:from>
      <xdr:col>3</xdr:col>
      <xdr:colOff>66675</xdr:colOff>
      <xdr:row>3</xdr:row>
      <xdr:rowOff>53752</xdr:rowOff>
    </xdr:from>
    <xdr:to>
      <xdr:col>19</xdr:col>
      <xdr:colOff>437630</xdr:colOff>
      <xdr:row>6</xdr:row>
      <xdr:rowOff>40417</xdr:rowOff>
    </xdr:to>
    <xdr:grpSp>
      <xdr:nvGrpSpPr>
        <xdr:cNvPr id="25" name="Group 24">
          <a:extLst>
            <a:ext uri="{FF2B5EF4-FFF2-40B4-BE49-F238E27FC236}">
              <a16:creationId xmlns:a16="http://schemas.microsoft.com/office/drawing/2014/main" id="{671D386D-EBCD-14C7-C699-FDE5ECB37323}"/>
            </a:ext>
          </a:extLst>
        </xdr:cNvPr>
        <xdr:cNvGrpSpPr/>
      </xdr:nvGrpSpPr>
      <xdr:grpSpPr>
        <a:xfrm>
          <a:off x="1895475" y="625252"/>
          <a:ext cx="9086330" cy="558165"/>
          <a:chOff x="1895475" y="625252"/>
          <a:chExt cx="9086330" cy="558165"/>
        </a:xfrm>
      </xdr:grpSpPr>
      <xdr:grpSp>
        <xdr:nvGrpSpPr>
          <xdr:cNvPr id="88" name="Group 87">
            <a:extLst>
              <a:ext uri="{FF2B5EF4-FFF2-40B4-BE49-F238E27FC236}">
                <a16:creationId xmlns:a16="http://schemas.microsoft.com/office/drawing/2014/main" id="{38BB2EBE-CC99-DECC-2DE9-93769AAE66DF}"/>
              </a:ext>
            </a:extLst>
          </xdr:cNvPr>
          <xdr:cNvGrpSpPr/>
        </xdr:nvGrpSpPr>
        <xdr:grpSpPr>
          <a:xfrm>
            <a:off x="1895475" y="625252"/>
            <a:ext cx="9086330" cy="558165"/>
            <a:chOff x="1295400" y="47625"/>
            <a:chExt cx="9086330" cy="558165"/>
          </a:xfrm>
        </xdr:grpSpPr>
        <xdr:grpSp>
          <xdr:nvGrpSpPr>
            <xdr:cNvPr id="66" name="Group 65">
              <a:extLst>
                <a:ext uri="{FF2B5EF4-FFF2-40B4-BE49-F238E27FC236}">
                  <a16:creationId xmlns:a16="http://schemas.microsoft.com/office/drawing/2014/main" id="{2661E5DF-C908-5BF6-7588-A2BD4621D9B4}"/>
                </a:ext>
              </a:extLst>
            </xdr:cNvPr>
            <xdr:cNvGrpSpPr/>
          </xdr:nvGrpSpPr>
          <xdr:grpSpPr>
            <a:xfrm>
              <a:off x="1295400" y="47625"/>
              <a:ext cx="9086330" cy="558165"/>
              <a:chOff x="1295400" y="34204"/>
              <a:chExt cx="9086330" cy="558165"/>
            </a:xfrm>
          </xdr:grpSpPr>
          <xdr:sp macro="" textlink="piv.tables!BB2">
            <xdr:nvSpPr>
              <xdr:cNvPr id="8" name="Rectangle: Rounded Corners 7">
                <a:extLst>
                  <a:ext uri="{FF2B5EF4-FFF2-40B4-BE49-F238E27FC236}">
                    <a16:creationId xmlns:a16="http://schemas.microsoft.com/office/drawing/2014/main" id="{A8C6D3EB-C358-740C-EE79-F62789B8D047}"/>
                  </a:ext>
                </a:extLst>
              </xdr:cNvPr>
              <xdr:cNvSpPr/>
            </xdr:nvSpPr>
            <xdr:spPr>
              <a:xfrm>
                <a:off x="1295400" y="43729"/>
                <a:ext cx="1737360" cy="548640"/>
              </a:xfrm>
              <a:prstGeom prst="roundRect">
                <a:avLst/>
              </a:prstGeom>
              <a:solidFill>
                <a:srgbClr val="353B5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accent6">
                        <a:lumMod val="60000"/>
                        <a:lumOff val="40000"/>
                      </a:schemeClr>
                    </a:solidFill>
                    <a:latin typeface="Aptos Narrow"/>
                  </a:rPr>
                  <a:t>car</a:t>
                </a:r>
                <a:r>
                  <a:rPr lang="en-US" sz="1100" b="1" i="0" u="none" strike="noStrike">
                    <a:solidFill>
                      <a:schemeClr val="bg1"/>
                    </a:solidFill>
                    <a:latin typeface="Aptos Narrow"/>
                  </a:rPr>
                  <a:t> </a:t>
                </a:r>
                <a:r>
                  <a:rPr lang="en-US" sz="1100" b="1" i="0" u="none" strike="noStrike">
                    <a:solidFill>
                      <a:schemeClr val="accent6">
                        <a:lumMod val="60000"/>
                        <a:lumOff val="40000"/>
                      </a:schemeClr>
                    </a:solidFill>
                    <a:latin typeface="Aptos Narrow"/>
                  </a:rPr>
                  <a:t>count</a:t>
                </a:r>
              </a:p>
              <a:p>
                <a:pPr algn="ctr"/>
                <a:endParaRPr lang="en-US" sz="1100" b="1" i="0" u="none" strike="noStrike">
                  <a:solidFill>
                    <a:schemeClr val="accent6">
                      <a:lumMod val="60000"/>
                      <a:lumOff val="40000"/>
                    </a:schemeClr>
                  </a:solidFill>
                  <a:latin typeface="Aptos Narrow"/>
                </a:endParaRPr>
              </a:p>
            </xdr:txBody>
          </xdr:sp>
          <xdr:sp macro="" textlink="piv.tables!BC2">
            <xdr:nvSpPr>
              <xdr:cNvPr id="9" name="Rectangle: Rounded Corners 8">
                <a:extLst>
                  <a:ext uri="{FF2B5EF4-FFF2-40B4-BE49-F238E27FC236}">
                    <a16:creationId xmlns:a16="http://schemas.microsoft.com/office/drawing/2014/main" id="{0544FEB4-6BF9-4781-91F8-557191C1626E}"/>
                  </a:ext>
                </a:extLst>
              </xdr:cNvPr>
              <xdr:cNvSpPr/>
            </xdr:nvSpPr>
            <xdr:spPr>
              <a:xfrm>
                <a:off x="3760643" y="34204"/>
                <a:ext cx="1737360" cy="548640"/>
              </a:xfrm>
              <a:prstGeom prst="roundRect">
                <a:avLst/>
              </a:prstGeom>
              <a:solidFill>
                <a:srgbClr val="353B5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accent6">
                        <a:lumMod val="60000"/>
                        <a:lumOff val="40000"/>
                      </a:schemeClr>
                    </a:solidFill>
                    <a:latin typeface="Aptos Narrow"/>
                  </a:rPr>
                  <a:t>total</a:t>
                </a:r>
                <a:r>
                  <a:rPr lang="en-US" sz="1100" b="1" i="0" u="none" strike="noStrike" baseline="0">
                    <a:solidFill>
                      <a:schemeClr val="bg1">
                        <a:lumMod val="95000"/>
                      </a:schemeClr>
                    </a:solidFill>
                    <a:latin typeface="Aptos Narrow"/>
                  </a:rPr>
                  <a:t> </a:t>
                </a:r>
                <a:r>
                  <a:rPr lang="en-US" sz="1100" b="1" i="0" u="none" strike="noStrike" baseline="0">
                    <a:solidFill>
                      <a:schemeClr val="accent6">
                        <a:lumMod val="60000"/>
                        <a:lumOff val="40000"/>
                      </a:schemeClr>
                    </a:solidFill>
                    <a:latin typeface="Aptos Narrow"/>
                  </a:rPr>
                  <a:t>price</a:t>
                </a:r>
                <a:endParaRPr lang="en-US" sz="1100" b="1" i="0" u="none" strike="noStrike">
                  <a:solidFill>
                    <a:schemeClr val="accent6">
                      <a:lumMod val="60000"/>
                      <a:lumOff val="40000"/>
                    </a:schemeClr>
                  </a:solidFill>
                  <a:latin typeface="Aptos Narrow"/>
                </a:endParaRPr>
              </a:p>
              <a:p>
                <a:pPr algn="ctr"/>
                <a:endParaRPr lang="en-US" sz="1100" b="1">
                  <a:solidFill>
                    <a:schemeClr val="bg1">
                      <a:lumMod val="95000"/>
                    </a:schemeClr>
                  </a:solidFill>
                </a:endParaRPr>
              </a:p>
            </xdr:txBody>
          </xdr:sp>
          <xdr:sp macro="" textlink="piv.tables!BD2">
            <xdr:nvSpPr>
              <xdr:cNvPr id="13" name="Rectangle: Rounded Corners 12">
                <a:extLst>
                  <a:ext uri="{FF2B5EF4-FFF2-40B4-BE49-F238E27FC236}">
                    <a16:creationId xmlns:a16="http://schemas.microsoft.com/office/drawing/2014/main" id="{52144949-2547-4605-B8D3-12E227905D6F}"/>
                  </a:ext>
                </a:extLst>
              </xdr:cNvPr>
              <xdr:cNvSpPr/>
            </xdr:nvSpPr>
            <xdr:spPr>
              <a:xfrm>
                <a:off x="6115050" y="34204"/>
                <a:ext cx="1737360" cy="548640"/>
              </a:xfrm>
              <a:prstGeom prst="roundRect">
                <a:avLst/>
              </a:prstGeom>
              <a:solidFill>
                <a:srgbClr val="353B5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accent6">
                        <a:lumMod val="60000"/>
                        <a:lumOff val="40000"/>
                      </a:schemeClr>
                    </a:solidFill>
                    <a:latin typeface="Aptos Narrow"/>
                  </a:rPr>
                  <a:t>avg</a:t>
                </a:r>
                <a:r>
                  <a:rPr lang="en-US" sz="1100" b="1" i="0" u="none" strike="noStrike">
                    <a:solidFill>
                      <a:schemeClr val="bg1">
                        <a:lumMod val="95000"/>
                      </a:schemeClr>
                    </a:solidFill>
                    <a:latin typeface="Aptos Narrow"/>
                  </a:rPr>
                  <a:t> </a:t>
                </a:r>
                <a:r>
                  <a:rPr lang="en-US" sz="1100" b="1" i="0" u="none" strike="noStrike">
                    <a:solidFill>
                      <a:schemeClr val="accent6">
                        <a:lumMod val="60000"/>
                        <a:lumOff val="40000"/>
                      </a:schemeClr>
                    </a:solidFill>
                    <a:latin typeface="Aptos Narrow"/>
                  </a:rPr>
                  <a:t>performance</a:t>
                </a:r>
              </a:p>
              <a:p>
                <a:pPr algn="ctr"/>
                <a:endParaRPr lang="en-US" sz="1100" b="1" i="0" u="none" strike="noStrike">
                  <a:solidFill>
                    <a:schemeClr val="bg1">
                      <a:lumMod val="95000"/>
                    </a:schemeClr>
                  </a:solidFill>
                  <a:latin typeface="Aptos Narrow"/>
                </a:endParaRPr>
              </a:p>
            </xdr:txBody>
          </xdr:sp>
          <xdr:sp macro="" textlink="piv.tables!BE2">
            <xdr:nvSpPr>
              <xdr:cNvPr id="14" name="Rectangle: Rounded Corners 13">
                <a:extLst>
                  <a:ext uri="{FF2B5EF4-FFF2-40B4-BE49-F238E27FC236}">
                    <a16:creationId xmlns:a16="http://schemas.microsoft.com/office/drawing/2014/main" id="{EB1BE0F3-78F4-480B-9E2E-CC4AD530B963}"/>
                  </a:ext>
                </a:extLst>
              </xdr:cNvPr>
              <xdr:cNvSpPr/>
            </xdr:nvSpPr>
            <xdr:spPr>
              <a:xfrm>
                <a:off x="8644370" y="43729"/>
                <a:ext cx="1737360" cy="548640"/>
              </a:xfrm>
              <a:prstGeom prst="roundRect">
                <a:avLst/>
              </a:prstGeom>
              <a:solidFill>
                <a:srgbClr val="353B50"/>
              </a:solid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b="1" i="0" u="none" strike="noStrike">
                    <a:solidFill>
                      <a:schemeClr val="accent6">
                        <a:lumMod val="60000"/>
                        <a:lumOff val="40000"/>
                      </a:schemeClr>
                    </a:solidFill>
                    <a:latin typeface="Aptos Narrow"/>
                  </a:rPr>
                  <a:t>avg</a:t>
                </a:r>
                <a:r>
                  <a:rPr lang="en-US" sz="1100" b="1" i="0" u="none" strike="noStrike">
                    <a:solidFill>
                      <a:schemeClr val="bg1"/>
                    </a:solidFill>
                    <a:latin typeface="Aptos Narrow"/>
                  </a:rPr>
                  <a:t> </a:t>
                </a:r>
                <a:r>
                  <a:rPr lang="en-US" sz="1100" b="1" i="0" u="none" strike="noStrike">
                    <a:solidFill>
                      <a:schemeClr val="accent6">
                        <a:lumMod val="60000"/>
                        <a:lumOff val="40000"/>
                      </a:schemeClr>
                    </a:solidFill>
                    <a:latin typeface="Aptos Narrow"/>
                  </a:rPr>
                  <a:t>horse</a:t>
                </a:r>
                <a:r>
                  <a:rPr lang="en-US" sz="1100" b="1" i="0" u="none" strike="noStrike">
                    <a:solidFill>
                      <a:schemeClr val="bg1"/>
                    </a:solidFill>
                    <a:latin typeface="Aptos Narrow"/>
                  </a:rPr>
                  <a:t> </a:t>
                </a:r>
                <a:r>
                  <a:rPr lang="en-US" sz="1100" b="1" i="0" u="none" strike="noStrike">
                    <a:solidFill>
                      <a:schemeClr val="accent6">
                        <a:lumMod val="60000"/>
                        <a:lumOff val="40000"/>
                      </a:schemeClr>
                    </a:solidFill>
                    <a:latin typeface="Aptos Narrow"/>
                  </a:rPr>
                  <a:t>power</a:t>
                </a:r>
              </a:p>
              <a:p>
                <a:pPr algn="ctr"/>
                <a:endParaRPr lang="en-US" sz="1100" b="1">
                  <a:solidFill>
                    <a:schemeClr val="bg1"/>
                  </a:solidFill>
                </a:endParaRPr>
              </a:p>
            </xdr:txBody>
          </xdr:sp>
        </xdr:grpSp>
        <xdr:grpSp>
          <xdr:nvGrpSpPr>
            <xdr:cNvPr id="87" name="Group 86">
              <a:extLst>
                <a:ext uri="{FF2B5EF4-FFF2-40B4-BE49-F238E27FC236}">
                  <a16:creationId xmlns:a16="http://schemas.microsoft.com/office/drawing/2014/main" id="{BFED036F-D310-B019-64F4-8C3AE40DF11D}"/>
                </a:ext>
              </a:extLst>
            </xdr:cNvPr>
            <xdr:cNvGrpSpPr/>
          </xdr:nvGrpSpPr>
          <xdr:grpSpPr>
            <a:xfrm>
              <a:off x="1394650" y="160114"/>
              <a:ext cx="7592642" cy="349715"/>
              <a:chOff x="1394650" y="160114"/>
              <a:chExt cx="7592642" cy="349715"/>
            </a:xfrm>
          </xdr:grpSpPr>
          <xdr:sp macro="" textlink="">
            <xdr:nvSpPr>
              <xdr:cNvPr id="76" name="Graphic 67" descr="Tally with solid fill">
                <a:extLst>
                  <a:ext uri="{FF2B5EF4-FFF2-40B4-BE49-F238E27FC236}">
                    <a16:creationId xmlns:a16="http://schemas.microsoft.com/office/drawing/2014/main" id="{A0E6553E-DAD7-A229-4BE9-A9C6542B213B}"/>
                  </a:ext>
                </a:extLst>
              </xdr:cNvPr>
              <xdr:cNvSpPr/>
            </xdr:nvSpPr>
            <xdr:spPr>
              <a:xfrm>
                <a:off x="1394650" y="183711"/>
                <a:ext cx="327660" cy="267142"/>
              </a:xfrm>
              <a:custGeom>
                <a:avLst/>
                <a:gdLst>
                  <a:gd name="csX0" fmla="*/ 327204 w 327660"/>
                  <a:gd name="csY0" fmla="*/ 42070 h 267142"/>
                  <a:gd name="csX1" fmla="*/ 308726 w 327660"/>
                  <a:gd name="csY1" fmla="*/ 29828 h 267142"/>
                  <a:gd name="csX2" fmla="*/ 276089 w 327660"/>
                  <a:gd name="csY2" fmla="*/ 44250 h 267142"/>
                  <a:gd name="csX3" fmla="*/ 274802 w 327660"/>
                  <a:gd name="csY3" fmla="*/ 15996 h 267142"/>
                  <a:gd name="csX4" fmla="*/ 258770 w 327660"/>
                  <a:gd name="csY4" fmla="*/ 90 h 267142"/>
                  <a:gd name="csX5" fmla="*/ 244365 w 327660"/>
                  <a:gd name="csY5" fmla="*/ 17792 h 267142"/>
                  <a:gd name="csX6" fmla="*/ 244375 w 327660"/>
                  <a:gd name="csY6" fmla="*/ 17978 h 267142"/>
                  <a:gd name="csX7" fmla="*/ 246135 w 327660"/>
                  <a:gd name="csY7" fmla="*/ 59664 h 267142"/>
                  <a:gd name="csX8" fmla="*/ 212988 w 327660"/>
                  <a:gd name="csY8" fmla="*/ 77568 h 267142"/>
                  <a:gd name="csX9" fmla="*/ 215354 w 327660"/>
                  <a:gd name="csY9" fmla="*/ 18104 h 267142"/>
                  <a:gd name="csX10" fmla="*/ 201313 w 327660"/>
                  <a:gd name="csY10" fmla="*/ 49 h 267142"/>
                  <a:gd name="csX11" fmla="*/ 184962 w 327660"/>
                  <a:gd name="csY11" fmla="*/ 15553 h 267142"/>
                  <a:gd name="csX12" fmla="*/ 184943 w 327660"/>
                  <a:gd name="csY12" fmla="*/ 15870 h 267142"/>
                  <a:gd name="csX13" fmla="*/ 182203 w 327660"/>
                  <a:gd name="csY13" fmla="*/ 94774 h 267142"/>
                  <a:gd name="csX14" fmla="*/ 147449 w 327660"/>
                  <a:gd name="csY14" fmla="*/ 114803 h 267142"/>
                  <a:gd name="csX15" fmla="*/ 142682 w 327660"/>
                  <a:gd name="csY15" fmla="*/ 22752 h 267142"/>
                  <a:gd name="csX16" fmla="*/ 126186 w 327660"/>
                  <a:gd name="csY16" fmla="*/ 7437 h 267142"/>
                  <a:gd name="csX17" fmla="*/ 112315 w 327660"/>
                  <a:gd name="csY17" fmla="*/ 25652 h 267142"/>
                  <a:gd name="csX18" fmla="*/ 112328 w 327660"/>
                  <a:gd name="csY18" fmla="*/ 25802 h 267142"/>
                  <a:gd name="csX19" fmla="*/ 117437 w 327660"/>
                  <a:gd name="csY19" fmla="*/ 132657 h 267142"/>
                  <a:gd name="csX20" fmla="*/ 77257 w 327660"/>
                  <a:gd name="csY20" fmla="*/ 157541 h 267142"/>
                  <a:gd name="csX21" fmla="*/ 83159 w 327660"/>
                  <a:gd name="csY21" fmla="*/ 19374 h 267142"/>
                  <a:gd name="csX22" fmla="*/ 70226 w 327660"/>
                  <a:gd name="csY22" fmla="*/ 336 h 267142"/>
                  <a:gd name="csX23" fmla="*/ 52983 w 327660"/>
                  <a:gd name="csY23" fmla="*/ 14616 h 267142"/>
                  <a:gd name="csX24" fmla="*/ 46541 w 327660"/>
                  <a:gd name="csY24" fmla="*/ 177700 h 267142"/>
                  <a:gd name="csX25" fmla="*/ 5884 w 327660"/>
                  <a:gd name="csY25" fmla="*/ 207859 h 267142"/>
                  <a:gd name="csX26" fmla="*/ 3211 w 327660"/>
                  <a:gd name="csY26" fmla="*/ 231474 h 267142"/>
                  <a:gd name="csX27" fmla="*/ 24599 w 327660"/>
                  <a:gd name="csY27" fmla="*/ 234426 h 267142"/>
                  <a:gd name="csX28" fmla="*/ 46289 w 327660"/>
                  <a:gd name="csY28" fmla="*/ 217636 h 267142"/>
                  <a:gd name="csX29" fmla="*/ 46228 w 327660"/>
                  <a:gd name="csY29" fmla="*/ 250311 h 267142"/>
                  <a:gd name="csX30" fmla="*/ 61468 w 327660"/>
                  <a:gd name="csY30" fmla="*/ 267138 h 267142"/>
                  <a:gd name="csX31" fmla="*/ 76708 w 327660"/>
                  <a:gd name="csY31" fmla="*/ 250311 h 267142"/>
                  <a:gd name="csX32" fmla="*/ 76876 w 327660"/>
                  <a:gd name="csY32" fmla="*/ 196761 h 267142"/>
                  <a:gd name="csX33" fmla="*/ 118233 w 327660"/>
                  <a:gd name="csY33" fmla="*/ 170679 h 267142"/>
                  <a:gd name="csX34" fmla="*/ 118874 w 327660"/>
                  <a:gd name="csY34" fmla="*/ 250315 h 267142"/>
                  <a:gd name="csX35" fmla="*/ 134114 w 327660"/>
                  <a:gd name="csY35" fmla="*/ 267142 h 267142"/>
                  <a:gd name="csX36" fmla="*/ 149354 w 327660"/>
                  <a:gd name="csY36" fmla="*/ 250315 h 267142"/>
                  <a:gd name="csX37" fmla="*/ 148412 w 327660"/>
                  <a:gd name="csY37" fmla="*/ 152522 h 267142"/>
                  <a:gd name="csX38" fmla="*/ 182017 w 327660"/>
                  <a:gd name="csY38" fmla="*/ 132935 h 267142"/>
                  <a:gd name="csX39" fmla="*/ 184939 w 327660"/>
                  <a:gd name="csY39" fmla="*/ 251304 h 267142"/>
                  <a:gd name="csX40" fmla="*/ 200137 w 327660"/>
                  <a:gd name="csY40" fmla="*/ 267138 h 267142"/>
                  <a:gd name="csX41" fmla="*/ 201048 w 327660"/>
                  <a:gd name="csY41" fmla="*/ 267109 h 267142"/>
                  <a:gd name="csX42" fmla="*/ 215366 w 327660"/>
                  <a:gd name="csY42" fmla="*/ 249326 h 267142"/>
                  <a:gd name="csX43" fmla="*/ 212500 w 327660"/>
                  <a:gd name="csY43" fmla="*/ 115661 h 267142"/>
                  <a:gd name="csX44" fmla="*/ 247000 w 327660"/>
                  <a:gd name="csY44" fmla="*/ 96688 h 267142"/>
                  <a:gd name="csX45" fmla="*/ 244383 w 327660"/>
                  <a:gd name="csY45" fmla="*/ 249192 h 267142"/>
                  <a:gd name="csX46" fmla="*/ 258576 w 327660"/>
                  <a:gd name="csY46" fmla="*/ 267100 h 267142"/>
                  <a:gd name="csX47" fmla="*/ 258579 w 327660"/>
                  <a:gd name="csY47" fmla="*/ 267100 h 267142"/>
                  <a:gd name="csX48" fmla="*/ 259604 w 327660"/>
                  <a:gd name="csY48" fmla="*/ 267138 h 267142"/>
                  <a:gd name="csX49" fmla="*/ 274794 w 327660"/>
                  <a:gd name="csY49" fmla="*/ 251430 h 267142"/>
                  <a:gd name="csX50" fmla="*/ 277190 w 327660"/>
                  <a:gd name="csY50" fmla="*/ 80706 h 267142"/>
                  <a:gd name="csX51" fmla="*/ 316117 w 327660"/>
                  <a:gd name="csY51" fmla="*/ 62465 h 267142"/>
                  <a:gd name="csX52" fmla="*/ 327204 w 327660"/>
                  <a:gd name="csY52" fmla="*/ 42070 h 26714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Lst>
                <a:rect l="l" t="t" r="r" b="b"/>
                <a:pathLst>
                  <a:path w="327660" h="267142">
                    <a:moveTo>
                      <a:pt x="327204" y="42070"/>
                    </a:moveTo>
                    <a:cubicBezTo>
                      <a:pt x="325162" y="33056"/>
                      <a:pt x="316890" y="27576"/>
                      <a:pt x="308726" y="29828"/>
                    </a:cubicBezTo>
                    <a:cubicBezTo>
                      <a:pt x="297567" y="33824"/>
                      <a:pt x="286664" y="38641"/>
                      <a:pt x="276089" y="44250"/>
                    </a:cubicBezTo>
                    <a:cubicBezTo>
                      <a:pt x="275731" y="34930"/>
                      <a:pt x="275302" y="25512"/>
                      <a:pt x="274802" y="15996"/>
                    </a:cubicBezTo>
                    <a:cubicBezTo>
                      <a:pt x="274352" y="6716"/>
                      <a:pt x="267175" y="-406"/>
                      <a:pt x="258770" y="90"/>
                    </a:cubicBezTo>
                    <a:cubicBezTo>
                      <a:pt x="250365" y="586"/>
                      <a:pt x="243916" y="8511"/>
                      <a:pt x="244365" y="17792"/>
                    </a:cubicBezTo>
                    <a:cubicBezTo>
                      <a:pt x="244368" y="17854"/>
                      <a:pt x="244371" y="17916"/>
                      <a:pt x="244375" y="17978"/>
                    </a:cubicBezTo>
                    <a:cubicBezTo>
                      <a:pt x="245137" y="32096"/>
                      <a:pt x="245701" y="46033"/>
                      <a:pt x="246135" y="59664"/>
                    </a:cubicBezTo>
                    <a:cubicBezTo>
                      <a:pt x="235799" y="65133"/>
                      <a:pt x="224651" y="71148"/>
                      <a:pt x="212988" y="77568"/>
                    </a:cubicBezTo>
                    <a:cubicBezTo>
                      <a:pt x="213426" y="57796"/>
                      <a:pt x="214173" y="37674"/>
                      <a:pt x="215354" y="18104"/>
                    </a:cubicBezTo>
                    <a:cubicBezTo>
                      <a:pt x="215992" y="8837"/>
                      <a:pt x="209706" y="754"/>
                      <a:pt x="201313" y="49"/>
                    </a:cubicBezTo>
                    <a:cubicBezTo>
                      <a:pt x="192921" y="-655"/>
                      <a:pt x="185600" y="6286"/>
                      <a:pt x="184962" y="15553"/>
                    </a:cubicBezTo>
                    <a:cubicBezTo>
                      <a:pt x="184955" y="15658"/>
                      <a:pt x="184948" y="15764"/>
                      <a:pt x="184943" y="15870"/>
                    </a:cubicBezTo>
                    <a:cubicBezTo>
                      <a:pt x="183369" y="41902"/>
                      <a:pt x="182550" y="68830"/>
                      <a:pt x="182203" y="94774"/>
                    </a:cubicBezTo>
                    <a:cubicBezTo>
                      <a:pt x="170754" y="101265"/>
                      <a:pt x="159092" y="107988"/>
                      <a:pt x="147449" y="114803"/>
                    </a:cubicBezTo>
                    <a:cubicBezTo>
                      <a:pt x="146447" y="82410"/>
                      <a:pt x="144942" y="50169"/>
                      <a:pt x="142682" y="22752"/>
                    </a:cubicBezTo>
                    <a:cubicBezTo>
                      <a:pt x="141957" y="13494"/>
                      <a:pt x="134571" y="6637"/>
                      <a:pt x="126186" y="7437"/>
                    </a:cubicBezTo>
                    <a:cubicBezTo>
                      <a:pt x="117800" y="8238"/>
                      <a:pt x="111590" y="16393"/>
                      <a:pt x="112315" y="25652"/>
                    </a:cubicBezTo>
                    <a:cubicBezTo>
                      <a:pt x="112320" y="25702"/>
                      <a:pt x="112324" y="25752"/>
                      <a:pt x="112328" y="25802"/>
                    </a:cubicBezTo>
                    <a:cubicBezTo>
                      <a:pt x="114907" y="57127"/>
                      <a:pt x="116481" y="95607"/>
                      <a:pt x="117437" y="132657"/>
                    </a:cubicBezTo>
                    <a:cubicBezTo>
                      <a:pt x="103550" y="141046"/>
                      <a:pt x="90005" y="149413"/>
                      <a:pt x="77257" y="157541"/>
                    </a:cubicBezTo>
                    <a:cubicBezTo>
                      <a:pt x="78362" y="74665"/>
                      <a:pt x="80922" y="36656"/>
                      <a:pt x="83159" y="19374"/>
                    </a:cubicBezTo>
                    <a:cubicBezTo>
                      <a:pt x="84348" y="10174"/>
                      <a:pt x="78558" y="1650"/>
                      <a:pt x="70226" y="336"/>
                    </a:cubicBezTo>
                    <a:cubicBezTo>
                      <a:pt x="61893" y="-978"/>
                      <a:pt x="54173" y="5416"/>
                      <a:pt x="52983" y="14616"/>
                    </a:cubicBezTo>
                    <a:cubicBezTo>
                      <a:pt x="49463" y="41818"/>
                      <a:pt x="47306" y="96541"/>
                      <a:pt x="46541" y="177700"/>
                    </a:cubicBezTo>
                    <a:cubicBezTo>
                      <a:pt x="32531" y="186980"/>
                      <a:pt x="18961" y="197046"/>
                      <a:pt x="5884" y="207859"/>
                    </a:cubicBezTo>
                    <a:cubicBezTo>
                      <a:pt x="-760" y="213565"/>
                      <a:pt x="-1956" y="224139"/>
                      <a:pt x="3211" y="231474"/>
                    </a:cubicBezTo>
                    <a:cubicBezTo>
                      <a:pt x="8379" y="238810"/>
                      <a:pt x="17955" y="240132"/>
                      <a:pt x="24599" y="234426"/>
                    </a:cubicBezTo>
                    <a:cubicBezTo>
                      <a:pt x="30409" y="229432"/>
                      <a:pt x="37766" y="223774"/>
                      <a:pt x="46289" y="217636"/>
                    </a:cubicBezTo>
                    <a:cubicBezTo>
                      <a:pt x="46248" y="228167"/>
                      <a:pt x="46228" y="239059"/>
                      <a:pt x="46228" y="250311"/>
                    </a:cubicBezTo>
                    <a:cubicBezTo>
                      <a:pt x="46228" y="259604"/>
                      <a:pt x="53052" y="267138"/>
                      <a:pt x="61468" y="267138"/>
                    </a:cubicBezTo>
                    <a:cubicBezTo>
                      <a:pt x="69885" y="267138"/>
                      <a:pt x="76708" y="259604"/>
                      <a:pt x="76708" y="250311"/>
                    </a:cubicBezTo>
                    <a:cubicBezTo>
                      <a:pt x="76708" y="230959"/>
                      <a:pt x="76769" y="213181"/>
                      <a:pt x="76876" y="196761"/>
                    </a:cubicBezTo>
                    <a:cubicBezTo>
                      <a:pt x="89670" y="188394"/>
                      <a:pt x="103649" y="179597"/>
                      <a:pt x="118233" y="170679"/>
                    </a:cubicBezTo>
                    <a:cubicBezTo>
                      <a:pt x="118767" y="203492"/>
                      <a:pt x="118874" y="232427"/>
                      <a:pt x="118874" y="250315"/>
                    </a:cubicBezTo>
                    <a:cubicBezTo>
                      <a:pt x="118874" y="259608"/>
                      <a:pt x="125697" y="267142"/>
                      <a:pt x="134114" y="267142"/>
                    </a:cubicBezTo>
                    <a:cubicBezTo>
                      <a:pt x="142530" y="267142"/>
                      <a:pt x="149354" y="259608"/>
                      <a:pt x="149354" y="250315"/>
                    </a:cubicBezTo>
                    <a:cubicBezTo>
                      <a:pt x="149354" y="225187"/>
                      <a:pt x="149171" y="190022"/>
                      <a:pt x="148412" y="152522"/>
                    </a:cubicBezTo>
                    <a:cubicBezTo>
                      <a:pt x="159583" y="145909"/>
                      <a:pt x="170861" y="139342"/>
                      <a:pt x="182017" y="132935"/>
                    </a:cubicBezTo>
                    <a:cubicBezTo>
                      <a:pt x="182203" y="198743"/>
                      <a:pt x="184897" y="250500"/>
                      <a:pt x="184939" y="251304"/>
                    </a:cubicBezTo>
                    <a:cubicBezTo>
                      <a:pt x="185414" y="260189"/>
                      <a:pt x="192075" y="267129"/>
                      <a:pt x="200137" y="267138"/>
                    </a:cubicBezTo>
                    <a:cubicBezTo>
                      <a:pt x="200438" y="267138"/>
                      <a:pt x="200743" y="267138"/>
                      <a:pt x="201048" y="267109"/>
                    </a:cubicBezTo>
                    <a:cubicBezTo>
                      <a:pt x="209448" y="266563"/>
                      <a:pt x="215858" y="258602"/>
                      <a:pt x="215366" y="249326"/>
                    </a:cubicBezTo>
                    <a:cubicBezTo>
                      <a:pt x="215320" y="248485"/>
                      <a:pt x="212192" y="188301"/>
                      <a:pt x="212500" y="115661"/>
                    </a:cubicBezTo>
                    <a:cubicBezTo>
                      <a:pt x="224555" y="108930"/>
                      <a:pt x="236161" y="102544"/>
                      <a:pt x="247000" y="96688"/>
                    </a:cubicBezTo>
                    <a:cubicBezTo>
                      <a:pt x="248288" y="182727"/>
                      <a:pt x="244432" y="248350"/>
                      <a:pt x="244383" y="249192"/>
                    </a:cubicBezTo>
                    <a:cubicBezTo>
                      <a:pt x="243823" y="258465"/>
                      <a:pt x="250178" y="266483"/>
                      <a:pt x="258576" y="267100"/>
                    </a:cubicBezTo>
                    <a:cubicBezTo>
                      <a:pt x="258577" y="267100"/>
                      <a:pt x="258578" y="267100"/>
                      <a:pt x="258579" y="267100"/>
                    </a:cubicBezTo>
                    <a:cubicBezTo>
                      <a:pt x="258922" y="267126"/>
                      <a:pt x="259264" y="267138"/>
                      <a:pt x="259604" y="267138"/>
                    </a:cubicBezTo>
                    <a:cubicBezTo>
                      <a:pt x="267621" y="267129"/>
                      <a:pt x="274261" y="260263"/>
                      <a:pt x="274794" y="251430"/>
                    </a:cubicBezTo>
                    <a:cubicBezTo>
                      <a:pt x="274851" y="250525"/>
                      <a:pt x="279248" y="175773"/>
                      <a:pt x="277190" y="80706"/>
                    </a:cubicBezTo>
                    <a:cubicBezTo>
                      <a:pt x="289809" y="73736"/>
                      <a:pt x="302810" y="67644"/>
                      <a:pt x="316117" y="62465"/>
                    </a:cubicBezTo>
                    <a:cubicBezTo>
                      <a:pt x="324277" y="60211"/>
                      <a:pt x="329239" y="51082"/>
                      <a:pt x="327204" y="42070"/>
                    </a:cubicBezTo>
                    <a:close/>
                  </a:path>
                </a:pathLst>
              </a:custGeom>
              <a:solidFill>
                <a:schemeClr val="accent6">
                  <a:lumMod val="40000"/>
                  <a:lumOff val="60000"/>
                </a:schemeClr>
              </a:solidFill>
              <a:ln w="3770" cap="flat">
                <a:noFill/>
                <a:prstDash val="solid"/>
                <a:miter/>
              </a:ln>
            </xdr:spPr>
            <xdr:txBody>
              <a:bodyPr/>
              <a:lstStyle/>
              <a:p>
                <a:endParaRPr lang="en-US"/>
              </a:p>
            </xdr:txBody>
          </xdr:sp>
          <xdr:sp macro="" textlink="">
            <xdr:nvSpPr>
              <xdr:cNvPr id="77" name="Graphic 69" descr="Tag with solid fill">
                <a:extLst>
                  <a:ext uri="{FF2B5EF4-FFF2-40B4-BE49-F238E27FC236}">
                    <a16:creationId xmlns:a16="http://schemas.microsoft.com/office/drawing/2014/main" id="{6A5A1722-C404-BF6B-CB48-60BA0AC0FFC2}"/>
                  </a:ext>
                </a:extLst>
              </xdr:cNvPr>
              <xdr:cNvSpPr/>
            </xdr:nvSpPr>
            <xdr:spPr>
              <a:xfrm>
                <a:off x="3863340" y="194310"/>
                <a:ext cx="267891" cy="283083"/>
              </a:xfrm>
              <a:custGeom>
                <a:avLst/>
                <a:gdLst>
                  <a:gd name="csX0" fmla="*/ 76200 w 267891"/>
                  <a:gd name="csY0" fmla="*/ 106680 h 283083"/>
                  <a:gd name="csX1" fmla="*/ 60960 w 267891"/>
                  <a:gd name="csY1" fmla="*/ 91440 h 283083"/>
                  <a:gd name="csX2" fmla="*/ 68199 w 267891"/>
                  <a:gd name="csY2" fmla="*/ 78486 h 283083"/>
                  <a:gd name="csX3" fmla="*/ 68580 w 267891"/>
                  <a:gd name="csY3" fmla="*/ 87630 h 283083"/>
                  <a:gd name="csX4" fmla="*/ 76200 w 267891"/>
                  <a:gd name="csY4" fmla="*/ 95250 h 283083"/>
                  <a:gd name="csX5" fmla="*/ 83820 w 267891"/>
                  <a:gd name="csY5" fmla="*/ 87630 h 283083"/>
                  <a:gd name="csX6" fmla="*/ 83439 w 267891"/>
                  <a:gd name="csY6" fmla="*/ 78105 h 283083"/>
                  <a:gd name="csX7" fmla="*/ 91440 w 267891"/>
                  <a:gd name="csY7" fmla="*/ 91440 h 283083"/>
                  <a:gd name="csX8" fmla="*/ 76200 w 267891"/>
                  <a:gd name="csY8" fmla="*/ 106680 h 283083"/>
                  <a:gd name="csX9" fmla="*/ 263652 w 267891"/>
                  <a:gd name="csY9" fmla="*/ 172212 h 283083"/>
                  <a:gd name="csX10" fmla="*/ 156972 w 267891"/>
                  <a:gd name="csY10" fmla="*/ 65532 h 283083"/>
                  <a:gd name="csX11" fmla="*/ 146304 w 267891"/>
                  <a:gd name="csY11" fmla="*/ 60960 h 283083"/>
                  <a:gd name="csX12" fmla="*/ 80772 w 267891"/>
                  <a:gd name="csY12" fmla="*/ 60960 h 283083"/>
                  <a:gd name="csX13" fmla="*/ 54864 w 267891"/>
                  <a:gd name="csY13" fmla="*/ 38100 h 283083"/>
                  <a:gd name="csX14" fmla="*/ 41529 w 267891"/>
                  <a:gd name="csY14" fmla="*/ 35814 h 283083"/>
                  <a:gd name="csX15" fmla="*/ 15240 w 267891"/>
                  <a:gd name="csY15" fmla="*/ 7620 h 283083"/>
                  <a:gd name="csX16" fmla="*/ 7620 w 267891"/>
                  <a:gd name="csY16" fmla="*/ 0 h 283083"/>
                  <a:gd name="csX17" fmla="*/ 0 w 267891"/>
                  <a:gd name="csY17" fmla="*/ 7620 h 283083"/>
                  <a:gd name="csX18" fmla="*/ 39243 w 267891"/>
                  <a:gd name="csY18" fmla="*/ 51054 h 283083"/>
                  <a:gd name="csX19" fmla="*/ 52197 w 267891"/>
                  <a:gd name="csY19" fmla="*/ 53340 h 283083"/>
                  <a:gd name="csX20" fmla="*/ 65532 w 267891"/>
                  <a:gd name="csY20" fmla="*/ 63246 h 283083"/>
                  <a:gd name="csX21" fmla="*/ 46101 w 267891"/>
                  <a:gd name="csY21" fmla="*/ 91821 h 283083"/>
                  <a:gd name="csX22" fmla="*/ 46101 w 267891"/>
                  <a:gd name="csY22" fmla="*/ 161544 h 283083"/>
                  <a:gd name="csX23" fmla="*/ 50673 w 267891"/>
                  <a:gd name="csY23" fmla="*/ 172212 h 283083"/>
                  <a:gd name="csX24" fmla="*/ 157353 w 267891"/>
                  <a:gd name="csY24" fmla="*/ 278892 h 283083"/>
                  <a:gd name="csX25" fmla="*/ 167640 w 267891"/>
                  <a:gd name="csY25" fmla="*/ 283083 h 283083"/>
                  <a:gd name="csX26" fmla="*/ 178308 w 267891"/>
                  <a:gd name="csY26" fmla="*/ 278511 h 283083"/>
                  <a:gd name="csX27" fmla="*/ 263271 w 267891"/>
                  <a:gd name="csY27" fmla="*/ 193548 h 283083"/>
                  <a:gd name="csX28" fmla="*/ 263652 w 267891"/>
                  <a:gd name="csY28" fmla="*/ 172212 h 283083"/>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Lst>
                <a:rect l="l" t="t" r="r" b="b"/>
                <a:pathLst>
                  <a:path w="267891" h="283083">
                    <a:moveTo>
                      <a:pt x="76200" y="106680"/>
                    </a:moveTo>
                    <a:cubicBezTo>
                      <a:pt x="67818" y="106680"/>
                      <a:pt x="60960" y="99822"/>
                      <a:pt x="60960" y="91440"/>
                    </a:cubicBezTo>
                    <a:cubicBezTo>
                      <a:pt x="60960" y="86106"/>
                      <a:pt x="64008" y="81153"/>
                      <a:pt x="68199" y="78486"/>
                    </a:cubicBezTo>
                    <a:cubicBezTo>
                      <a:pt x="68199" y="81153"/>
                      <a:pt x="68580" y="84201"/>
                      <a:pt x="68580" y="87630"/>
                    </a:cubicBezTo>
                    <a:cubicBezTo>
                      <a:pt x="68580" y="91821"/>
                      <a:pt x="72009" y="95250"/>
                      <a:pt x="76200" y="95250"/>
                    </a:cubicBezTo>
                    <a:cubicBezTo>
                      <a:pt x="80391" y="95250"/>
                      <a:pt x="83820" y="91821"/>
                      <a:pt x="83820" y="87630"/>
                    </a:cubicBezTo>
                    <a:cubicBezTo>
                      <a:pt x="83820" y="84201"/>
                      <a:pt x="83820" y="81153"/>
                      <a:pt x="83439" y="78105"/>
                    </a:cubicBezTo>
                    <a:cubicBezTo>
                      <a:pt x="88011" y="80772"/>
                      <a:pt x="91440" y="85725"/>
                      <a:pt x="91440" y="91440"/>
                    </a:cubicBezTo>
                    <a:cubicBezTo>
                      <a:pt x="91440" y="99822"/>
                      <a:pt x="84582" y="106680"/>
                      <a:pt x="76200" y="106680"/>
                    </a:cubicBezTo>
                    <a:close/>
                    <a:moveTo>
                      <a:pt x="263652" y="172212"/>
                    </a:moveTo>
                    <a:lnTo>
                      <a:pt x="156972" y="65532"/>
                    </a:lnTo>
                    <a:cubicBezTo>
                      <a:pt x="153924" y="62484"/>
                      <a:pt x="150114" y="60960"/>
                      <a:pt x="146304" y="60960"/>
                    </a:cubicBezTo>
                    <a:lnTo>
                      <a:pt x="80772" y="60960"/>
                    </a:lnTo>
                    <a:cubicBezTo>
                      <a:pt x="76581" y="47625"/>
                      <a:pt x="68580" y="40767"/>
                      <a:pt x="54864" y="38100"/>
                    </a:cubicBezTo>
                    <a:cubicBezTo>
                      <a:pt x="49911" y="37338"/>
                      <a:pt x="45720" y="36576"/>
                      <a:pt x="41529" y="35814"/>
                    </a:cubicBezTo>
                    <a:cubicBezTo>
                      <a:pt x="19812" y="32766"/>
                      <a:pt x="15240" y="32004"/>
                      <a:pt x="15240" y="7620"/>
                    </a:cubicBezTo>
                    <a:cubicBezTo>
                      <a:pt x="15240" y="3429"/>
                      <a:pt x="11811" y="0"/>
                      <a:pt x="7620" y="0"/>
                    </a:cubicBezTo>
                    <a:cubicBezTo>
                      <a:pt x="3429" y="0"/>
                      <a:pt x="0" y="3429"/>
                      <a:pt x="0" y="7620"/>
                    </a:cubicBezTo>
                    <a:cubicBezTo>
                      <a:pt x="0" y="43434"/>
                      <a:pt x="14097" y="47244"/>
                      <a:pt x="39243" y="51054"/>
                    </a:cubicBezTo>
                    <a:cubicBezTo>
                      <a:pt x="43053" y="51816"/>
                      <a:pt x="47244" y="52197"/>
                      <a:pt x="52197" y="53340"/>
                    </a:cubicBezTo>
                    <a:cubicBezTo>
                      <a:pt x="57150" y="54483"/>
                      <a:pt x="62484" y="55245"/>
                      <a:pt x="65532" y="63246"/>
                    </a:cubicBezTo>
                    <a:cubicBezTo>
                      <a:pt x="54102" y="67818"/>
                      <a:pt x="46101" y="78867"/>
                      <a:pt x="46101" y="91821"/>
                    </a:cubicBezTo>
                    <a:lnTo>
                      <a:pt x="46101" y="161544"/>
                    </a:lnTo>
                    <a:cubicBezTo>
                      <a:pt x="46101" y="165735"/>
                      <a:pt x="47625" y="169545"/>
                      <a:pt x="50673" y="172212"/>
                    </a:cubicBezTo>
                    <a:lnTo>
                      <a:pt x="157353" y="278892"/>
                    </a:lnTo>
                    <a:cubicBezTo>
                      <a:pt x="160020" y="281940"/>
                      <a:pt x="163830" y="283083"/>
                      <a:pt x="167640" y="283083"/>
                    </a:cubicBezTo>
                    <a:cubicBezTo>
                      <a:pt x="171450" y="283083"/>
                      <a:pt x="175260" y="281559"/>
                      <a:pt x="178308" y="278511"/>
                    </a:cubicBezTo>
                    <a:lnTo>
                      <a:pt x="263271" y="193548"/>
                    </a:lnTo>
                    <a:cubicBezTo>
                      <a:pt x="269367" y="187833"/>
                      <a:pt x="269367" y="177927"/>
                      <a:pt x="263652" y="172212"/>
                    </a:cubicBezTo>
                    <a:close/>
                  </a:path>
                </a:pathLst>
              </a:custGeom>
              <a:solidFill>
                <a:schemeClr val="accent6">
                  <a:lumMod val="40000"/>
                  <a:lumOff val="60000"/>
                </a:schemeClr>
              </a:solidFill>
              <a:ln w="3770" cap="flat">
                <a:noFill/>
                <a:prstDash val="solid"/>
                <a:miter/>
              </a:ln>
            </xdr:spPr>
          </xdr:sp>
          <xdr:grpSp>
            <xdr:nvGrpSpPr>
              <xdr:cNvPr id="86" name="Group 85">
                <a:extLst>
                  <a:ext uri="{FF2B5EF4-FFF2-40B4-BE49-F238E27FC236}">
                    <a16:creationId xmlns:a16="http://schemas.microsoft.com/office/drawing/2014/main" id="{3C02E677-11D5-8D18-4322-592D16409EA4}"/>
                  </a:ext>
                </a:extLst>
              </xdr:cNvPr>
              <xdr:cNvGrpSpPr/>
            </xdr:nvGrpSpPr>
            <xdr:grpSpPr>
              <a:xfrm>
                <a:off x="6130312" y="180974"/>
                <a:ext cx="335279" cy="188041"/>
                <a:chOff x="6130312" y="180974"/>
                <a:chExt cx="335279" cy="188041"/>
              </a:xfrm>
            </xdr:grpSpPr>
            <xdr:grpSp>
              <xdr:nvGrpSpPr>
                <xdr:cNvPr id="85" name="Group 84">
                  <a:extLst>
                    <a:ext uri="{FF2B5EF4-FFF2-40B4-BE49-F238E27FC236}">
                      <a16:creationId xmlns:a16="http://schemas.microsoft.com/office/drawing/2014/main" id="{38778B4C-2F94-AA8E-5DC7-779EB8C72440}"/>
                    </a:ext>
                  </a:extLst>
                </xdr:cNvPr>
                <xdr:cNvGrpSpPr/>
              </xdr:nvGrpSpPr>
              <xdr:grpSpPr>
                <a:xfrm>
                  <a:off x="6130312" y="180974"/>
                  <a:ext cx="335279" cy="182880"/>
                  <a:chOff x="6130312" y="180974"/>
                  <a:chExt cx="335279" cy="182880"/>
                </a:xfrm>
              </xdr:grpSpPr>
              <xdr:sp macro="" textlink="">
                <xdr:nvSpPr>
                  <xdr:cNvPr id="79" name="Freeform: Shape 78">
                    <a:extLst>
                      <a:ext uri="{FF2B5EF4-FFF2-40B4-BE49-F238E27FC236}">
                        <a16:creationId xmlns:a16="http://schemas.microsoft.com/office/drawing/2014/main" id="{0BBAD3E1-5A8D-6713-7194-9A4182A9B6C8}"/>
                      </a:ext>
                    </a:extLst>
                  </xdr:cNvPr>
                  <xdr:cNvSpPr/>
                </xdr:nvSpPr>
                <xdr:spPr>
                  <a:xfrm>
                    <a:off x="6197749" y="180974"/>
                    <a:ext cx="267842" cy="182880"/>
                  </a:xfrm>
                  <a:custGeom>
                    <a:avLst/>
                    <a:gdLst>
                      <a:gd name="csX0" fmla="*/ 107823 w 267842"/>
                      <a:gd name="csY0" fmla="*/ 23241 h 182880"/>
                      <a:gd name="csX1" fmla="*/ 107823 w 267842"/>
                      <a:gd name="csY1" fmla="*/ 38481 h 182880"/>
                      <a:gd name="csX2" fmla="*/ 100203 w 267842"/>
                      <a:gd name="csY2" fmla="*/ 38100 h 182880"/>
                      <a:gd name="csX3" fmla="*/ 92583 w 267842"/>
                      <a:gd name="csY3" fmla="*/ 38481 h 182880"/>
                      <a:gd name="csX4" fmla="*/ 92583 w 267842"/>
                      <a:gd name="csY4" fmla="*/ 23241 h 182880"/>
                      <a:gd name="csX5" fmla="*/ 50673 w 267842"/>
                      <a:gd name="csY5" fmla="*/ 32004 h 182880"/>
                      <a:gd name="csX6" fmla="*/ 56388 w 267842"/>
                      <a:gd name="csY6" fmla="*/ 45720 h 182880"/>
                      <a:gd name="csX7" fmla="*/ 42291 w 267842"/>
                      <a:gd name="csY7" fmla="*/ 51816 h 182880"/>
                      <a:gd name="csX8" fmla="*/ 36576 w 267842"/>
                      <a:gd name="csY8" fmla="*/ 37719 h 182880"/>
                      <a:gd name="csX9" fmla="*/ 16383 w 267842"/>
                      <a:gd name="csY9" fmla="*/ 49911 h 182880"/>
                      <a:gd name="csX10" fmla="*/ 0 w 267842"/>
                      <a:gd name="csY10" fmla="*/ 33528 h 182880"/>
                      <a:gd name="csX11" fmla="*/ 100203 w 267842"/>
                      <a:gd name="csY11" fmla="*/ 0 h 182880"/>
                      <a:gd name="csX12" fmla="*/ 267843 w 267842"/>
                      <a:gd name="csY12" fmla="*/ 167640 h 182880"/>
                      <a:gd name="csX13" fmla="*/ 267843 w 267842"/>
                      <a:gd name="csY13" fmla="*/ 182880 h 182880"/>
                      <a:gd name="csX14" fmla="*/ 244983 w 267842"/>
                      <a:gd name="csY14" fmla="*/ 182880 h 182880"/>
                      <a:gd name="csX15" fmla="*/ 244983 w 267842"/>
                      <a:gd name="csY15" fmla="*/ 167640 h 182880"/>
                      <a:gd name="csX16" fmla="*/ 237744 w 267842"/>
                      <a:gd name="csY16" fmla="*/ 122682 h 182880"/>
                      <a:gd name="csX17" fmla="*/ 223647 w 267842"/>
                      <a:gd name="csY17" fmla="*/ 128397 h 182880"/>
                      <a:gd name="csX18" fmla="*/ 218313 w 267842"/>
                      <a:gd name="csY18" fmla="*/ 114300 h 182880"/>
                      <a:gd name="csX19" fmla="*/ 232410 w 267842"/>
                      <a:gd name="csY19" fmla="*/ 108585 h 182880"/>
                      <a:gd name="csX20" fmla="*/ 209550 w 267842"/>
                      <a:gd name="csY20" fmla="*/ 73152 h 182880"/>
                      <a:gd name="csX21" fmla="*/ 198882 w 267842"/>
                      <a:gd name="csY21" fmla="*/ 83820 h 182880"/>
                      <a:gd name="csX22" fmla="*/ 188214 w 267842"/>
                      <a:gd name="csY22" fmla="*/ 72771 h 182880"/>
                      <a:gd name="csX23" fmla="*/ 198882 w 267842"/>
                      <a:gd name="csY23" fmla="*/ 62103 h 182880"/>
                      <a:gd name="csX24" fmla="*/ 163830 w 267842"/>
                      <a:gd name="csY24" fmla="*/ 37719 h 182880"/>
                      <a:gd name="csX25" fmla="*/ 158115 w 267842"/>
                      <a:gd name="csY25" fmla="*/ 51816 h 182880"/>
                      <a:gd name="csX26" fmla="*/ 144018 w 267842"/>
                      <a:gd name="csY26" fmla="*/ 45720 h 182880"/>
                      <a:gd name="csX27" fmla="*/ 149733 w 267842"/>
                      <a:gd name="csY27" fmla="*/ 31623 h 182880"/>
                      <a:gd name="csX28" fmla="*/ 107823 w 267842"/>
                      <a:gd name="csY28" fmla="*/ 23241 h 18288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Lst>
                    <a:rect l="l" t="t" r="r" b="b"/>
                    <a:pathLst>
                      <a:path w="267842" h="182880">
                        <a:moveTo>
                          <a:pt x="107823" y="23241"/>
                        </a:moveTo>
                        <a:lnTo>
                          <a:pt x="107823" y="38481"/>
                        </a:lnTo>
                        <a:cubicBezTo>
                          <a:pt x="105156" y="38481"/>
                          <a:pt x="102870" y="38100"/>
                          <a:pt x="100203" y="38100"/>
                        </a:cubicBezTo>
                        <a:cubicBezTo>
                          <a:pt x="97657" y="38037"/>
                          <a:pt x="95110" y="38164"/>
                          <a:pt x="92583" y="38481"/>
                        </a:cubicBezTo>
                        <a:lnTo>
                          <a:pt x="92583" y="23241"/>
                        </a:lnTo>
                        <a:cubicBezTo>
                          <a:pt x="78240" y="23945"/>
                          <a:pt x="64097" y="26902"/>
                          <a:pt x="50673" y="32004"/>
                        </a:cubicBezTo>
                        <a:lnTo>
                          <a:pt x="56388" y="45720"/>
                        </a:lnTo>
                        <a:cubicBezTo>
                          <a:pt x="51435" y="47625"/>
                          <a:pt x="46863" y="49530"/>
                          <a:pt x="42291" y="51816"/>
                        </a:cubicBezTo>
                        <a:lnTo>
                          <a:pt x="36576" y="37719"/>
                        </a:lnTo>
                        <a:cubicBezTo>
                          <a:pt x="29503" y="41188"/>
                          <a:pt x="22746" y="45267"/>
                          <a:pt x="16383" y="49911"/>
                        </a:cubicBezTo>
                        <a:lnTo>
                          <a:pt x="0" y="33528"/>
                        </a:lnTo>
                        <a:cubicBezTo>
                          <a:pt x="28856" y="11733"/>
                          <a:pt x="64041" y="-40"/>
                          <a:pt x="100203" y="0"/>
                        </a:cubicBezTo>
                        <a:cubicBezTo>
                          <a:pt x="192788" y="0"/>
                          <a:pt x="267843" y="75055"/>
                          <a:pt x="267843" y="167640"/>
                        </a:cubicBezTo>
                        <a:lnTo>
                          <a:pt x="267843" y="182880"/>
                        </a:lnTo>
                        <a:lnTo>
                          <a:pt x="244983" y="182880"/>
                        </a:lnTo>
                        <a:lnTo>
                          <a:pt x="244983" y="167640"/>
                        </a:lnTo>
                        <a:cubicBezTo>
                          <a:pt x="244933" y="152368"/>
                          <a:pt x="242491" y="137198"/>
                          <a:pt x="237744" y="122682"/>
                        </a:cubicBezTo>
                        <a:lnTo>
                          <a:pt x="223647" y="128397"/>
                        </a:lnTo>
                        <a:cubicBezTo>
                          <a:pt x="222123" y="123444"/>
                          <a:pt x="220218" y="118872"/>
                          <a:pt x="218313" y="114300"/>
                        </a:cubicBezTo>
                        <a:lnTo>
                          <a:pt x="232410" y="108585"/>
                        </a:lnTo>
                        <a:cubicBezTo>
                          <a:pt x="226653" y="95671"/>
                          <a:pt x="218943" y="83720"/>
                          <a:pt x="209550" y="73152"/>
                        </a:cubicBezTo>
                        <a:lnTo>
                          <a:pt x="198882" y="83820"/>
                        </a:lnTo>
                        <a:cubicBezTo>
                          <a:pt x="195522" y="79953"/>
                          <a:pt x="191961" y="76264"/>
                          <a:pt x="188214" y="72771"/>
                        </a:cubicBezTo>
                        <a:lnTo>
                          <a:pt x="198882" y="62103"/>
                        </a:lnTo>
                        <a:cubicBezTo>
                          <a:pt x="188406" y="52364"/>
                          <a:pt x="176605" y="44154"/>
                          <a:pt x="163830" y="37719"/>
                        </a:cubicBezTo>
                        <a:lnTo>
                          <a:pt x="158115" y="51816"/>
                        </a:lnTo>
                        <a:cubicBezTo>
                          <a:pt x="153543" y="49530"/>
                          <a:pt x="148971" y="47625"/>
                          <a:pt x="144018" y="45720"/>
                        </a:cubicBezTo>
                        <a:lnTo>
                          <a:pt x="149733" y="31623"/>
                        </a:lnTo>
                        <a:cubicBezTo>
                          <a:pt x="136289" y="26648"/>
                          <a:pt x="122146" y="23819"/>
                          <a:pt x="107823" y="23241"/>
                        </a:cubicBezTo>
                        <a:close/>
                      </a:path>
                    </a:pathLst>
                  </a:custGeom>
                  <a:solidFill>
                    <a:schemeClr val="accent6">
                      <a:lumMod val="40000"/>
                      <a:lumOff val="60000"/>
                    </a:schemeClr>
                  </a:solidFill>
                  <a:ln w="3770" cap="flat">
                    <a:noFill/>
                    <a:prstDash val="solid"/>
                    <a:miter/>
                  </a:ln>
                </xdr:spPr>
              </xdr:sp>
              <xdr:sp macro="" textlink="">
                <xdr:nvSpPr>
                  <xdr:cNvPr id="80" name="Freeform: Shape 79">
                    <a:extLst>
                      <a:ext uri="{FF2B5EF4-FFF2-40B4-BE49-F238E27FC236}">
                        <a16:creationId xmlns:a16="http://schemas.microsoft.com/office/drawing/2014/main" id="{20D3306A-5C22-4E96-065B-D7A780F22543}"/>
                      </a:ext>
                    </a:extLst>
                  </xdr:cNvPr>
                  <xdr:cNvSpPr/>
                </xdr:nvSpPr>
                <xdr:spPr>
                  <a:xfrm>
                    <a:off x="6130312" y="252602"/>
                    <a:ext cx="49530" cy="111252"/>
                  </a:xfrm>
                  <a:custGeom>
                    <a:avLst/>
                    <a:gdLst>
                      <a:gd name="csX0" fmla="*/ 30099 w 49530"/>
                      <a:gd name="csY0" fmla="*/ 0 h 111252"/>
                      <a:gd name="csX1" fmla="*/ 46482 w 49530"/>
                      <a:gd name="csY1" fmla="*/ 16383 h 111252"/>
                      <a:gd name="csX2" fmla="*/ 35433 w 49530"/>
                      <a:gd name="csY2" fmla="*/ 36576 h 111252"/>
                      <a:gd name="csX3" fmla="*/ 49530 w 49530"/>
                      <a:gd name="csY3" fmla="*/ 42672 h 111252"/>
                      <a:gd name="csX4" fmla="*/ 44196 w 49530"/>
                      <a:gd name="csY4" fmla="*/ 56769 h 111252"/>
                      <a:gd name="csX5" fmla="*/ 30099 w 49530"/>
                      <a:gd name="csY5" fmla="*/ 51054 h 111252"/>
                      <a:gd name="csX6" fmla="*/ 22860 w 49530"/>
                      <a:gd name="csY6" fmla="*/ 96012 h 111252"/>
                      <a:gd name="csX7" fmla="*/ 22860 w 49530"/>
                      <a:gd name="csY7" fmla="*/ 111252 h 111252"/>
                      <a:gd name="csX8" fmla="*/ 0 w 49530"/>
                      <a:gd name="csY8" fmla="*/ 111252 h 111252"/>
                      <a:gd name="csX9" fmla="*/ 0 w 49530"/>
                      <a:gd name="csY9" fmla="*/ 96012 h 111252"/>
                      <a:gd name="csX10" fmla="*/ 30099 w 49530"/>
                      <a:gd name="csY10" fmla="*/ 0 h 11125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Lst>
                    <a:rect l="l" t="t" r="r" b="b"/>
                    <a:pathLst>
                      <a:path w="49530" h="111252">
                        <a:moveTo>
                          <a:pt x="30099" y="0"/>
                        </a:moveTo>
                        <a:lnTo>
                          <a:pt x="46482" y="16383"/>
                        </a:lnTo>
                        <a:cubicBezTo>
                          <a:pt x="42285" y="22819"/>
                          <a:pt x="38591" y="29571"/>
                          <a:pt x="35433" y="36576"/>
                        </a:cubicBezTo>
                        <a:lnTo>
                          <a:pt x="49530" y="42672"/>
                        </a:lnTo>
                        <a:cubicBezTo>
                          <a:pt x="47625" y="47244"/>
                          <a:pt x="45720" y="52197"/>
                          <a:pt x="44196" y="56769"/>
                        </a:cubicBezTo>
                        <a:lnTo>
                          <a:pt x="30099" y="51054"/>
                        </a:lnTo>
                        <a:cubicBezTo>
                          <a:pt x="25353" y="65570"/>
                          <a:pt x="22910" y="80740"/>
                          <a:pt x="22860" y="96012"/>
                        </a:cubicBezTo>
                        <a:lnTo>
                          <a:pt x="22860" y="111252"/>
                        </a:lnTo>
                        <a:lnTo>
                          <a:pt x="0" y="111252"/>
                        </a:lnTo>
                        <a:lnTo>
                          <a:pt x="0" y="96012"/>
                        </a:lnTo>
                        <a:cubicBezTo>
                          <a:pt x="-77" y="61674"/>
                          <a:pt x="10433" y="28148"/>
                          <a:pt x="30099" y="0"/>
                        </a:cubicBezTo>
                        <a:close/>
                      </a:path>
                    </a:pathLst>
                  </a:custGeom>
                  <a:solidFill>
                    <a:schemeClr val="accent6">
                      <a:lumMod val="40000"/>
                      <a:lumOff val="60000"/>
                    </a:schemeClr>
                  </a:solidFill>
                  <a:ln w="3770" cap="flat">
                    <a:noFill/>
                    <a:prstDash val="solid"/>
                    <a:miter/>
                  </a:ln>
                </xdr:spPr>
              </xdr:sp>
            </xdr:grpSp>
            <xdr:sp macro="" textlink="">
              <xdr:nvSpPr>
                <xdr:cNvPr id="81" name="Freeform: Shape 80">
                  <a:extLst>
                    <a:ext uri="{FF2B5EF4-FFF2-40B4-BE49-F238E27FC236}">
                      <a16:creationId xmlns:a16="http://schemas.microsoft.com/office/drawing/2014/main" id="{B847B709-DCCB-968D-811E-DDB8876D987B}"/>
                    </a:ext>
                  </a:extLst>
                </xdr:cNvPr>
                <xdr:cNvSpPr/>
              </xdr:nvSpPr>
              <xdr:spPr>
                <a:xfrm>
                  <a:off x="6168412" y="222885"/>
                  <a:ext cx="145743" cy="146130"/>
                </a:xfrm>
                <a:custGeom>
                  <a:avLst/>
                  <a:gdLst>
                    <a:gd name="csX0" fmla="*/ 140208 w 145743"/>
                    <a:gd name="csY0" fmla="*/ 118872 h 146130"/>
                    <a:gd name="csX1" fmla="*/ 142113 w 145743"/>
                    <a:gd name="csY1" fmla="*/ 120777 h 146130"/>
                    <a:gd name="csX2" fmla="*/ 140266 w 145743"/>
                    <a:gd name="csY2" fmla="*/ 142499 h 146130"/>
                    <a:gd name="csX3" fmla="*/ 118544 w 145743"/>
                    <a:gd name="csY3" fmla="*/ 140652 h 146130"/>
                    <a:gd name="csX4" fmla="*/ 118491 w 145743"/>
                    <a:gd name="csY4" fmla="*/ 140589 h 146130"/>
                    <a:gd name="csX5" fmla="*/ 0 w 145743"/>
                    <a:gd name="csY5" fmla="*/ 0 h 146130"/>
                  </a:gdLst>
                  <a:ahLst/>
                  <a:cxnLst>
                    <a:cxn ang="0">
                      <a:pos x="csX0" y="csY0"/>
                    </a:cxn>
                    <a:cxn ang="0">
                      <a:pos x="csX1" y="csY1"/>
                    </a:cxn>
                    <a:cxn ang="0">
                      <a:pos x="csX2" y="csY2"/>
                    </a:cxn>
                    <a:cxn ang="0">
                      <a:pos x="csX3" y="csY3"/>
                    </a:cxn>
                    <a:cxn ang="0">
                      <a:pos x="csX4" y="csY4"/>
                    </a:cxn>
                    <a:cxn ang="0">
                      <a:pos x="csX5" y="csY5"/>
                    </a:cxn>
                  </a:cxnLst>
                  <a:rect l="l" t="t" r="r" b="b"/>
                  <a:pathLst>
                    <a:path w="145743" h="146130">
                      <a:moveTo>
                        <a:pt x="140208" y="118872"/>
                      </a:moveTo>
                      <a:cubicBezTo>
                        <a:pt x="140970" y="119253"/>
                        <a:pt x="141351" y="120015"/>
                        <a:pt x="142113" y="120777"/>
                      </a:cubicBezTo>
                      <a:cubicBezTo>
                        <a:pt x="147601" y="127286"/>
                        <a:pt x="146774" y="137011"/>
                        <a:pt x="140266" y="142499"/>
                      </a:cubicBezTo>
                      <a:cubicBezTo>
                        <a:pt x="133757" y="147987"/>
                        <a:pt x="124032" y="147161"/>
                        <a:pt x="118544" y="140652"/>
                      </a:cubicBezTo>
                      <a:cubicBezTo>
                        <a:pt x="118526" y="140631"/>
                        <a:pt x="118509" y="140610"/>
                        <a:pt x="118491" y="140589"/>
                      </a:cubicBezTo>
                      <a:lnTo>
                        <a:pt x="0" y="0"/>
                      </a:lnTo>
                      <a:close/>
                    </a:path>
                  </a:pathLst>
                </a:custGeom>
                <a:solidFill>
                  <a:schemeClr val="accent6">
                    <a:lumMod val="40000"/>
                    <a:lumOff val="60000"/>
                  </a:schemeClr>
                </a:solidFill>
                <a:ln w="3770" cap="flat">
                  <a:noFill/>
                  <a:prstDash val="solid"/>
                  <a:miter/>
                </a:ln>
              </xdr:spPr>
              <xdr:txBody>
                <a:bodyPr/>
                <a:lstStyle/>
                <a:p>
                  <a:endParaRPr lang="en-US"/>
                </a:p>
              </xdr:txBody>
            </xdr:sp>
          </xdr:grpSp>
          <xdr:sp macro="" textlink="">
            <xdr:nvSpPr>
              <xdr:cNvPr id="82" name="Graphic 73" descr="Pegasus with solid fill">
                <a:extLst>
                  <a:ext uri="{FF2B5EF4-FFF2-40B4-BE49-F238E27FC236}">
                    <a16:creationId xmlns:a16="http://schemas.microsoft.com/office/drawing/2014/main" id="{DA2F8D56-DB8A-177E-9A60-85C5DBE4AD35}"/>
                  </a:ext>
                </a:extLst>
              </xdr:cNvPr>
              <xdr:cNvSpPr/>
            </xdr:nvSpPr>
            <xdr:spPr>
              <a:xfrm>
                <a:off x="8662183" y="160114"/>
                <a:ext cx="325109" cy="349715"/>
              </a:xfrm>
              <a:custGeom>
                <a:avLst/>
                <a:gdLst>
                  <a:gd name="csX0" fmla="*/ 321004 w 325109"/>
                  <a:gd name="csY0" fmla="*/ 151151 h 349715"/>
                  <a:gd name="csX1" fmla="*/ 311635 w 325109"/>
                  <a:gd name="csY1" fmla="*/ 148680 h 349715"/>
                  <a:gd name="csX2" fmla="*/ 289900 w 325109"/>
                  <a:gd name="csY2" fmla="*/ 152631 h 349715"/>
                  <a:gd name="csX3" fmla="*/ 290772 w 325109"/>
                  <a:gd name="csY3" fmla="*/ 147362 h 349715"/>
                  <a:gd name="csX4" fmla="*/ 282549 w 325109"/>
                  <a:gd name="csY4" fmla="*/ 122400 h 349715"/>
                  <a:gd name="csX5" fmla="*/ 281453 w 325109"/>
                  <a:gd name="csY5" fmla="*/ 120841 h 349715"/>
                  <a:gd name="csX6" fmla="*/ 263423 w 325109"/>
                  <a:gd name="csY6" fmla="*/ 73663 h 349715"/>
                  <a:gd name="csX7" fmla="*/ 277529 w 325109"/>
                  <a:gd name="csY7" fmla="*/ 79733 h 349715"/>
                  <a:gd name="csX8" fmla="*/ 286518 w 325109"/>
                  <a:gd name="csY8" fmla="*/ 79820 h 349715"/>
                  <a:gd name="csX9" fmla="*/ 287354 w 325109"/>
                  <a:gd name="csY9" fmla="*/ 80673 h 349715"/>
                  <a:gd name="csX10" fmla="*/ 306751 w 325109"/>
                  <a:gd name="csY10" fmla="*/ 80865 h 349715"/>
                  <a:gd name="csX11" fmla="*/ 306757 w 325109"/>
                  <a:gd name="csY11" fmla="*/ 80859 h 349715"/>
                  <a:gd name="csX12" fmla="*/ 306908 w 325109"/>
                  <a:gd name="csY12" fmla="*/ 80711 h 349715"/>
                  <a:gd name="csX13" fmla="*/ 307956 w 325109"/>
                  <a:gd name="csY13" fmla="*/ 79684 h 349715"/>
                  <a:gd name="csX14" fmla="*/ 308148 w 325109"/>
                  <a:gd name="csY14" fmla="*/ 59973 h 349715"/>
                  <a:gd name="csX15" fmla="*/ 275351 w 325109"/>
                  <a:gd name="csY15" fmla="*/ 26524 h 349715"/>
                  <a:gd name="csX16" fmla="*/ 259638 w 325109"/>
                  <a:gd name="csY16" fmla="*/ 14093 h 349715"/>
                  <a:gd name="csX17" fmla="*/ 259758 w 325109"/>
                  <a:gd name="csY17" fmla="*/ 1749 h 349715"/>
                  <a:gd name="csX18" fmla="*/ 258261 w 325109"/>
                  <a:gd name="csY18" fmla="*/ 4 h 349715"/>
                  <a:gd name="csX19" fmla="*/ 257866 w 325109"/>
                  <a:gd name="csY19" fmla="*/ 23 h 349715"/>
                  <a:gd name="csX20" fmla="*/ 245818 w 325109"/>
                  <a:gd name="csY20" fmla="*/ 13019 h 349715"/>
                  <a:gd name="csX21" fmla="*/ 245811 w 325109"/>
                  <a:gd name="csY21" fmla="*/ 13716 h 349715"/>
                  <a:gd name="csX22" fmla="*/ 207052 w 325109"/>
                  <a:gd name="csY22" fmla="*/ 24439 h 349715"/>
                  <a:gd name="csX23" fmla="*/ 188092 w 325109"/>
                  <a:gd name="csY23" fmla="*/ 42936 h 349715"/>
                  <a:gd name="csX24" fmla="*/ 195871 w 325109"/>
                  <a:gd name="csY24" fmla="*/ 50200 h 349715"/>
                  <a:gd name="csX25" fmla="*/ 196235 w 325109"/>
                  <a:gd name="csY25" fmla="*/ 57406 h 349715"/>
                  <a:gd name="csX26" fmla="*/ 182103 w 325109"/>
                  <a:gd name="csY26" fmla="*/ 72342 h 349715"/>
                  <a:gd name="csX27" fmla="*/ 196048 w 325109"/>
                  <a:gd name="csY27" fmla="*/ 77322 h 349715"/>
                  <a:gd name="csX28" fmla="*/ 195484 w 325109"/>
                  <a:gd name="csY28" fmla="*/ 81128 h 349715"/>
                  <a:gd name="csX29" fmla="*/ 183494 w 325109"/>
                  <a:gd name="csY29" fmla="*/ 100738 h 349715"/>
                  <a:gd name="csX30" fmla="*/ 181380 w 325109"/>
                  <a:gd name="csY30" fmla="*/ 101253 h 349715"/>
                  <a:gd name="csX31" fmla="*/ 179545 w 325109"/>
                  <a:gd name="csY31" fmla="*/ 101016 h 349715"/>
                  <a:gd name="csX32" fmla="*/ 167843 w 325109"/>
                  <a:gd name="csY32" fmla="*/ 94733 h 349715"/>
                  <a:gd name="csX33" fmla="*/ 151669 w 325109"/>
                  <a:gd name="csY33" fmla="*/ 73232 h 349715"/>
                  <a:gd name="csX34" fmla="*/ 119868 w 325109"/>
                  <a:gd name="csY34" fmla="*/ 48533 h 349715"/>
                  <a:gd name="csX35" fmla="*/ 48889 w 325109"/>
                  <a:gd name="csY35" fmla="*/ 69004 h 349715"/>
                  <a:gd name="csX36" fmla="*/ 0 w 325109"/>
                  <a:gd name="csY36" fmla="*/ 66405 h 349715"/>
                  <a:gd name="csX37" fmla="*/ 27056 w 325109"/>
                  <a:gd name="csY37" fmla="*/ 115465 h 349715"/>
                  <a:gd name="csX38" fmla="*/ 65709 w 325109"/>
                  <a:gd name="csY38" fmla="*/ 114390 h 349715"/>
                  <a:gd name="csX39" fmla="*/ 69984 w 325109"/>
                  <a:gd name="csY39" fmla="*/ 139370 h 349715"/>
                  <a:gd name="csX40" fmla="*/ 112631 w 325109"/>
                  <a:gd name="csY40" fmla="*/ 135614 h 349715"/>
                  <a:gd name="csX41" fmla="*/ 120108 w 325109"/>
                  <a:gd name="csY41" fmla="*/ 154212 h 349715"/>
                  <a:gd name="csX42" fmla="*/ 152090 w 325109"/>
                  <a:gd name="csY42" fmla="*/ 138548 h 349715"/>
                  <a:gd name="csX43" fmla="*/ 164153 w 325109"/>
                  <a:gd name="csY43" fmla="*/ 143524 h 349715"/>
                  <a:gd name="csX44" fmla="*/ 131937 w 325109"/>
                  <a:gd name="csY44" fmla="*/ 161023 h 349715"/>
                  <a:gd name="csX45" fmla="*/ 115742 w 325109"/>
                  <a:gd name="csY45" fmla="*/ 181716 h 349715"/>
                  <a:gd name="csX46" fmla="*/ 90333 w 325109"/>
                  <a:gd name="csY46" fmla="*/ 199567 h 349715"/>
                  <a:gd name="csX47" fmla="*/ 77461 w 325109"/>
                  <a:gd name="csY47" fmla="*/ 245869 h 349715"/>
                  <a:gd name="csX48" fmla="*/ 90971 w 325109"/>
                  <a:gd name="csY48" fmla="*/ 267817 h 349715"/>
                  <a:gd name="csX49" fmla="*/ 86736 w 325109"/>
                  <a:gd name="csY49" fmla="*/ 287838 h 349715"/>
                  <a:gd name="csX50" fmla="*/ 97557 w 325109"/>
                  <a:gd name="csY50" fmla="*/ 283356 h 349715"/>
                  <a:gd name="csX51" fmla="*/ 93527 w 325109"/>
                  <a:gd name="csY51" fmla="*/ 309103 h 349715"/>
                  <a:gd name="csX52" fmla="*/ 120801 w 325109"/>
                  <a:gd name="csY52" fmla="*/ 259109 h 349715"/>
                  <a:gd name="csX53" fmla="*/ 126357 w 325109"/>
                  <a:gd name="csY53" fmla="*/ 253762 h 349715"/>
                  <a:gd name="csX54" fmla="*/ 114476 w 325109"/>
                  <a:gd name="csY54" fmla="*/ 243479 h 349715"/>
                  <a:gd name="csX55" fmla="*/ 116839 w 325109"/>
                  <a:gd name="csY55" fmla="*/ 219136 h 349715"/>
                  <a:gd name="csX56" fmla="*/ 141670 w 325109"/>
                  <a:gd name="csY56" fmla="*/ 254482 h 349715"/>
                  <a:gd name="csX57" fmla="*/ 134449 w 325109"/>
                  <a:gd name="csY57" fmla="*/ 258400 h 349715"/>
                  <a:gd name="csX58" fmla="*/ 130405 w 325109"/>
                  <a:gd name="csY58" fmla="*/ 271189 h 349715"/>
                  <a:gd name="csX59" fmla="*/ 130405 w 325109"/>
                  <a:gd name="csY59" fmla="*/ 337851 h 349715"/>
                  <a:gd name="csX60" fmla="*/ 139573 w 325109"/>
                  <a:gd name="csY60" fmla="*/ 349489 h 349715"/>
                  <a:gd name="csX61" fmla="*/ 153043 w 325109"/>
                  <a:gd name="csY61" fmla="*/ 340523 h 349715"/>
                  <a:gd name="csX62" fmla="*/ 153267 w 325109"/>
                  <a:gd name="csY62" fmla="*/ 338274 h 349715"/>
                  <a:gd name="csX63" fmla="*/ 153267 w 325109"/>
                  <a:gd name="csY63" fmla="*/ 287965 h 349715"/>
                  <a:gd name="csX64" fmla="*/ 171555 w 325109"/>
                  <a:gd name="csY64" fmla="*/ 285678 h 349715"/>
                  <a:gd name="csX65" fmla="*/ 190464 w 325109"/>
                  <a:gd name="csY65" fmla="*/ 266765 h 349715"/>
                  <a:gd name="csX66" fmla="*/ 195559 w 325109"/>
                  <a:gd name="csY66" fmla="*/ 254461 h 349715"/>
                  <a:gd name="csX67" fmla="*/ 195559 w 325109"/>
                  <a:gd name="csY67" fmla="*/ 229309 h 349715"/>
                  <a:gd name="csX68" fmla="*/ 204930 w 325109"/>
                  <a:gd name="csY68" fmla="*/ 216235 h 349715"/>
                  <a:gd name="csX69" fmla="*/ 223619 w 325109"/>
                  <a:gd name="csY69" fmla="*/ 212480 h 349715"/>
                  <a:gd name="csX70" fmla="*/ 239187 w 325109"/>
                  <a:gd name="csY70" fmla="*/ 208023 h 349715"/>
                  <a:gd name="csX71" fmla="*/ 269893 w 325109"/>
                  <a:gd name="csY71" fmla="*/ 190946 h 349715"/>
                  <a:gd name="csX72" fmla="*/ 275235 w 325109"/>
                  <a:gd name="csY72" fmla="*/ 186105 h 349715"/>
                  <a:gd name="csX73" fmla="*/ 284888 w 325109"/>
                  <a:gd name="csY73" fmla="*/ 176778 h 349715"/>
                  <a:gd name="csX74" fmla="*/ 302249 w 325109"/>
                  <a:gd name="csY74" fmla="*/ 173622 h 349715"/>
                  <a:gd name="csX75" fmla="*/ 302249 w 325109"/>
                  <a:gd name="csY75" fmla="*/ 205222 h 349715"/>
                  <a:gd name="csX76" fmla="*/ 311415 w 325109"/>
                  <a:gd name="csY76" fmla="*/ 216858 h 349715"/>
                  <a:gd name="csX77" fmla="*/ 324886 w 325109"/>
                  <a:gd name="csY77" fmla="*/ 207893 h 349715"/>
                  <a:gd name="csX78" fmla="*/ 325109 w 325109"/>
                  <a:gd name="csY78" fmla="*/ 205646 h 349715"/>
                  <a:gd name="csX79" fmla="*/ 325109 w 325109"/>
                  <a:gd name="csY79" fmla="*/ 159926 h 349715"/>
                  <a:gd name="csX80" fmla="*/ 321004 w 325109"/>
                  <a:gd name="csY80" fmla="*/ 151151 h 349715"/>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Lst>
                <a:rect l="l" t="t" r="r" b="b"/>
                <a:pathLst>
                  <a:path w="325109" h="349715">
                    <a:moveTo>
                      <a:pt x="321004" y="151151"/>
                    </a:moveTo>
                    <a:cubicBezTo>
                      <a:pt x="318400" y="148981"/>
                      <a:pt x="314969" y="148077"/>
                      <a:pt x="311635" y="148680"/>
                    </a:cubicBezTo>
                    <a:lnTo>
                      <a:pt x="289900" y="152631"/>
                    </a:lnTo>
                    <a:lnTo>
                      <a:pt x="290772" y="147362"/>
                    </a:lnTo>
                    <a:cubicBezTo>
                      <a:pt x="290608" y="138403"/>
                      <a:pt x="287741" y="129702"/>
                      <a:pt x="282549" y="122400"/>
                    </a:cubicBezTo>
                    <a:lnTo>
                      <a:pt x="281453" y="120841"/>
                    </a:lnTo>
                    <a:cubicBezTo>
                      <a:pt x="268349" y="102188"/>
                      <a:pt x="263441" y="85795"/>
                      <a:pt x="263423" y="73663"/>
                    </a:cubicBezTo>
                    <a:cubicBezTo>
                      <a:pt x="267207" y="77370"/>
                      <a:pt x="272236" y="79533"/>
                      <a:pt x="277529" y="79733"/>
                    </a:cubicBezTo>
                    <a:lnTo>
                      <a:pt x="286518" y="79820"/>
                    </a:lnTo>
                    <a:lnTo>
                      <a:pt x="287354" y="80673"/>
                    </a:lnTo>
                    <a:cubicBezTo>
                      <a:pt x="292657" y="86082"/>
                      <a:pt x="301342" y="86169"/>
                      <a:pt x="306751" y="80865"/>
                    </a:cubicBezTo>
                    <a:cubicBezTo>
                      <a:pt x="306753" y="80863"/>
                      <a:pt x="306755" y="80861"/>
                      <a:pt x="306757" y="80859"/>
                    </a:cubicBezTo>
                    <a:lnTo>
                      <a:pt x="306908" y="80711"/>
                    </a:lnTo>
                    <a:lnTo>
                      <a:pt x="307956" y="79684"/>
                    </a:lnTo>
                    <a:cubicBezTo>
                      <a:pt x="313200" y="74189"/>
                      <a:pt x="313283" y="65569"/>
                      <a:pt x="308148" y="59973"/>
                    </a:cubicBezTo>
                    <a:lnTo>
                      <a:pt x="275351" y="26524"/>
                    </a:lnTo>
                    <a:lnTo>
                      <a:pt x="259638" y="14093"/>
                    </a:lnTo>
                    <a:lnTo>
                      <a:pt x="259758" y="1749"/>
                    </a:lnTo>
                    <a:cubicBezTo>
                      <a:pt x="259826" y="854"/>
                      <a:pt x="259156" y="73"/>
                      <a:pt x="258261" y="4"/>
                    </a:cubicBezTo>
                    <a:cubicBezTo>
                      <a:pt x="258129" y="-5"/>
                      <a:pt x="257996" y="1"/>
                      <a:pt x="257866" y="23"/>
                    </a:cubicBezTo>
                    <a:cubicBezTo>
                      <a:pt x="251256" y="912"/>
                      <a:pt x="246205" y="6361"/>
                      <a:pt x="245818" y="13019"/>
                    </a:cubicBezTo>
                    <a:lnTo>
                      <a:pt x="245811" y="13716"/>
                    </a:lnTo>
                    <a:cubicBezTo>
                      <a:pt x="233573" y="6473"/>
                      <a:pt x="218907" y="9343"/>
                      <a:pt x="207052" y="24439"/>
                    </a:cubicBezTo>
                    <a:cubicBezTo>
                      <a:pt x="201139" y="31008"/>
                      <a:pt x="194806" y="37187"/>
                      <a:pt x="188092" y="42936"/>
                    </a:cubicBezTo>
                    <a:cubicBezTo>
                      <a:pt x="189931" y="46057"/>
                      <a:pt x="192633" y="48579"/>
                      <a:pt x="195871" y="50200"/>
                    </a:cubicBezTo>
                    <a:cubicBezTo>
                      <a:pt x="196027" y="52978"/>
                      <a:pt x="196175" y="52953"/>
                      <a:pt x="196235" y="57406"/>
                    </a:cubicBezTo>
                    <a:cubicBezTo>
                      <a:pt x="195394" y="63755"/>
                      <a:pt x="182103" y="72342"/>
                      <a:pt x="182103" y="72342"/>
                    </a:cubicBezTo>
                    <a:cubicBezTo>
                      <a:pt x="182103" y="72342"/>
                      <a:pt x="189106" y="80066"/>
                      <a:pt x="196048" y="77322"/>
                    </a:cubicBezTo>
                    <a:cubicBezTo>
                      <a:pt x="196048" y="77322"/>
                      <a:pt x="195752" y="78657"/>
                      <a:pt x="195484" y="81128"/>
                    </a:cubicBezTo>
                    <a:cubicBezTo>
                      <a:pt x="194272" y="89005"/>
                      <a:pt x="189953" y="96068"/>
                      <a:pt x="183494" y="100738"/>
                    </a:cubicBezTo>
                    <a:cubicBezTo>
                      <a:pt x="182880" y="101171"/>
                      <a:pt x="182125" y="101356"/>
                      <a:pt x="181380" y="101253"/>
                    </a:cubicBezTo>
                    <a:lnTo>
                      <a:pt x="179545" y="101016"/>
                    </a:lnTo>
                    <a:cubicBezTo>
                      <a:pt x="174998" y="100451"/>
                      <a:pt x="170826" y="98210"/>
                      <a:pt x="167843" y="94733"/>
                    </a:cubicBezTo>
                    <a:cubicBezTo>
                      <a:pt x="158604" y="83836"/>
                      <a:pt x="151603" y="72876"/>
                      <a:pt x="151669" y="73232"/>
                    </a:cubicBezTo>
                    <a:cubicBezTo>
                      <a:pt x="143364" y="60669"/>
                      <a:pt x="133457" y="51329"/>
                      <a:pt x="119868" y="48533"/>
                    </a:cubicBezTo>
                    <a:cubicBezTo>
                      <a:pt x="96654" y="43727"/>
                      <a:pt x="89121" y="58974"/>
                      <a:pt x="48889" y="69004"/>
                    </a:cubicBezTo>
                    <a:cubicBezTo>
                      <a:pt x="32816" y="73013"/>
                      <a:pt x="14344" y="75409"/>
                      <a:pt x="0" y="66405"/>
                    </a:cubicBezTo>
                    <a:cubicBezTo>
                      <a:pt x="1167" y="84069"/>
                      <a:pt x="11880" y="108093"/>
                      <a:pt x="27056" y="115465"/>
                    </a:cubicBezTo>
                    <a:cubicBezTo>
                      <a:pt x="42045" y="122913"/>
                      <a:pt x="65709" y="114390"/>
                      <a:pt x="65709" y="114390"/>
                    </a:cubicBezTo>
                    <a:cubicBezTo>
                      <a:pt x="65709" y="114390"/>
                      <a:pt x="57674" y="129061"/>
                      <a:pt x="69984" y="139370"/>
                    </a:cubicBezTo>
                    <a:cubicBezTo>
                      <a:pt x="77259" y="145463"/>
                      <a:pt x="93472" y="148019"/>
                      <a:pt x="112631" y="135614"/>
                    </a:cubicBezTo>
                    <a:cubicBezTo>
                      <a:pt x="109627" y="145215"/>
                      <a:pt x="111581" y="153156"/>
                      <a:pt x="120108" y="154212"/>
                    </a:cubicBezTo>
                    <a:cubicBezTo>
                      <a:pt x="134148" y="155932"/>
                      <a:pt x="152090" y="138548"/>
                      <a:pt x="152090" y="138548"/>
                    </a:cubicBezTo>
                    <a:cubicBezTo>
                      <a:pt x="155789" y="140900"/>
                      <a:pt x="159872" y="142584"/>
                      <a:pt x="164153" y="143524"/>
                    </a:cubicBezTo>
                    <a:lnTo>
                      <a:pt x="131937" y="161023"/>
                    </a:lnTo>
                    <a:cubicBezTo>
                      <a:pt x="124538" y="166090"/>
                      <a:pt x="118882" y="173316"/>
                      <a:pt x="115742" y="181716"/>
                    </a:cubicBezTo>
                    <a:lnTo>
                      <a:pt x="90333" y="199567"/>
                    </a:lnTo>
                    <a:cubicBezTo>
                      <a:pt x="74463" y="210715"/>
                      <a:pt x="67543" y="229829"/>
                      <a:pt x="77461" y="245869"/>
                    </a:cubicBezTo>
                    <a:cubicBezTo>
                      <a:pt x="84123" y="256745"/>
                      <a:pt x="88008" y="262540"/>
                      <a:pt x="90971" y="267817"/>
                    </a:cubicBezTo>
                    <a:cubicBezTo>
                      <a:pt x="95099" y="277538"/>
                      <a:pt x="86736" y="287838"/>
                      <a:pt x="86736" y="287838"/>
                    </a:cubicBezTo>
                    <a:cubicBezTo>
                      <a:pt x="90735" y="287560"/>
                      <a:pt x="94533" y="285987"/>
                      <a:pt x="97557" y="283356"/>
                    </a:cubicBezTo>
                    <a:cubicBezTo>
                      <a:pt x="99170" y="294799"/>
                      <a:pt x="93527" y="309103"/>
                      <a:pt x="93527" y="309103"/>
                    </a:cubicBezTo>
                    <a:cubicBezTo>
                      <a:pt x="93527" y="309103"/>
                      <a:pt x="130072" y="294840"/>
                      <a:pt x="120801" y="259109"/>
                    </a:cubicBezTo>
                    <a:cubicBezTo>
                      <a:pt x="123171" y="257957"/>
                      <a:pt x="125115" y="256086"/>
                      <a:pt x="126357" y="253762"/>
                    </a:cubicBezTo>
                    <a:cubicBezTo>
                      <a:pt x="126357" y="253762"/>
                      <a:pt x="120162" y="254622"/>
                      <a:pt x="114476" y="243479"/>
                    </a:cubicBezTo>
                    <a:cubicBezTo>
                      <a:pt x="106190" y="227177"/>
                      <a:pt x="116839" y="219136"/>
                      <a:pt x="116839" y="219136"/>
                    </a:cubicBezTo>
                    <a:lnTo>
                      <a:pt x="141670" y="254482"/>
                    </a:lnTo>
                    <a:cubicBezTo>
                      <a:pt x="138713" y="254302"/>
                      <a:pt x="135911" y="255822"/>
                      <a:pt x="134449" y="258400"/>
                    </a:cubicBezTo>
                    <a:cubicBezTo>
                      <a:pt x="131770" y="262122"/>
                      <a:pt x="130353" y="266603"/>
                      <a:pt x="130405" y="271189"/>
                    </a:cubicBezTo>
                    <a:lnTo>
                      <a:pt x="130405" y="337851"/>
                    </a:lnTo>
                    <a:cubicBezTo>
                      <a:pt x="130307" y="343416"/>
                      <a:pt x="134140" y="348281"/>
                      <a:pt x="139573" y="349489"/>
                    </a:cubicBezTo>
                    <a:cubicBezTo>
                      <a:pt x="145769" y="350733"/>
                      <a:pt x="151799" y="346718"/>
                      <a:pt x="153043" y="340523"/>
                    </a:cubicBezTo>
                    <a:cubicBezTo>
                      <a:pt x="153191" y="339783"/>
                      <a:pt x="153267" y="339029"/>
                      <a:pt x="153267" y="338274"/>
                    </a:cubicBezTo>
                    <a:lnTo>
                      <a:pt x="153267" y="287965"/>
                    </a:lnTo>
                    <a:cubicBezTo>
                      <a:pt x="159185" y="291394"/>
                      <a:pt x="166663" y="290459"/>
                      <a:pt x="171555" y="285678"/>
                    </a:cubicBezTo>
                    <a:lnTo>
                      <a:pt x="190464" y="266765"/>
                    </a:lnTo>
                    <a:cubicBezTo>
                      <a:pt x="193726" y="263502"/>
                      <a:pt x="195559" y="259075"/>
                      <a:pt x="195559" y="254461"/>
                    </a:cubicBezTo>
                    <a:lnTo>
                      <a:pt x="195559" y="229309"/>
                    </a:lnTo>
                    <a:cubicBezTo>
                      <a:pt x="195560" y="223393"/>
                      <a:pt x="199329" y="218135"/>
                      <a:pt x="204930" y="216235"/>
                    </a:cubicBezTo>
                    <a:lnTo>
                      <a:pt x="223619" y="212480"/>
                    </a:lnTo>
                    <a:lnTo>
                      <a:pt x="239187" y="208023"/>
                    </a:lnTo>
                    <a:cubicBezTo>
                      <a:pt x="250595" y="204756"/>
                      <a:pt x="261100" y="198914"/>
                      <a:pt x="269893" y="190946"/>
                    </a:cubicBezTo>
                    <a:lnTo>
                      <a:pt x="275235" y="186105"/>
                    </a:lnTo>
                    <a:cubicBezTo>
                      <a:pt x="278848" y="183433"/>
                      <a:pt x="282094" y="180298"/>
                      <a:pt x="284888" y="176778"/>
                    </a:cubicBezTo>
                    <a:lnTo>
                      <a:pt x="302249" y="173622"/>
                    </a:lnTo>
                    <a:lnTo>
                      <a:pt x="302249" y="205222"/>
                    </a:lnTo>
                    <a:cubicBezTo>
                      <a:pt x="302151" y="210786"/>
                      <a:pt x="305983" y="215651"/>
                      <a:pt x="311415" y="216858"/>
                    </a:cubicBezTo>
                    <a:cubicBezTo>
                      <a:pt x="317611" y="218102"/>
                      <a:pt x="323641" y="214089"/>
                      <a:pt x="324886" y="207893"/>
                    </a:cubicBezTo>
                    <a:cubicBezTo>
                      <a:pt x="325034" y="207154"/>
                      <a:pt x="325109" y="206401"/>
                      <a:pt x="325109" y="205646"/>
                    </a:cubicBezTo>
                    <a:lnTo>
                      <a:pt x="325109" y="159926"/>
                    </a:lnTo>
                    <a:cubicBezTo>
                      <a:pt x="325109" y="156537"/>
                      <a:pt x="323605" y="153322"/>
                      <a:pt x="321004" y="151151"/>
                    </a:cubicBezTo>
                    <a:close/>
                  </a:path>
                </a:pathLst>
              </a:custGeom>
              <a:solidFill>
                <a:schemeClr val="accent6">
                  <a:lumMod val="40000"/>
                  <a:lumOff val="60000"/>
                </a:schemeClr>
              </a:solidFill>
              <a:ln w="3770" cap="flat">
                <a:noFill/>
                <a:prstDash val="solid"/>
                <a:miter/>
              </a:ln>
            </xdr:spPr>
          </xdr:sp>
        </xdr:grpSp>
      </xdr:grpSp>
      <xdr:grpSp>
        <xdr:nvGrpSpPr>
          <xdr:cNvPr id="24" name="Group 23">
            <a:extLst>
              <a:ext uri="{FF2B5EF4-FFF2-40B4-BE49-F238E27FC236}">
                <a16:creationId xmlns:a16="http://schemas.microsoft.com/office/drawing/2014/main" id="{8F27F0DA-61BE-9C55-814D-056F8B5564E6}"/>
              </a:ext>
            </a:extLst>
          </xdr:cNvPr>
          <xdr:cNvGrpSpPr/>
        </xdr:nvGrpSpPr>
        <xdr:grpSpPr>
          <a:xfrm>
            <a:off x="2628900" y="882427"/>
            <a:ext cx="7650913" cy="257176"/>
            <a:chOff x="2628900" y="882427"/>
            <a:chExt cx="7650913" cy="257176"/>
          </a:xfrm>
        </xdr:grpSpPr>
        <xdr:sp macro="" textlink="piv.tables!BB2">
          <xdr:nvSpPr>
            <xdr:cNvPr id="16" name="Rectangle 15">
              <a:extLst>
                <a:ext uri="{FF2B5EF4-FFF2-40B4-BE49-F238E27FC236}">
                  <a16:creationId xmlns:a16="http://schemas.microsoft.com/office/drawing/2014/main" id="{3A136345-8C41-9412-A80E-E07C10E815E8}"/>
                </a:ext>
              </a:extLst>
            </xdr:cNvPr>
            <xdr:cNvSpPr/>
          </xdr:nvSpPr>
          <xdr:spPr>
            <a:xfrm>
              <a:off x="2628900" y="882427"/>
              <a:ext cx="333375" cy="257176"/>
            </a:xfrm>
            <a:prstGeom prst="rect">
              <a:avLst/>
            </a:prstGeom>
            <a:solidFill>
              <a:srgbClr val="353B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5418C57-B58E-4E83-B62D-723282388A22}" type="TxLink">
                <a:rPr lang="en-US" sz="1100" b="1" i="0" u="none" strike="noStrike">
                  <a:solidFill>
                    <a:schemeClr val="bg1"/>
                  </a:solidFill>
                  <a:latin typeface="Aptos Narrow"/>
                </a:rPr>
                <a:pPr algn="ctr"/>
                <a:t>1348</a:t>
              </a:fld>
              <a:endParaRPr lang="en-US" sz="1100" b="1">
                <a:solidFill>
                  <a:schemeClr val="bg1"/>
                </a:solidFill>
              </a:endParaRPr>
            </a:p>
          </xdr:txBody>
        </xdr:sp>
        <xdr:sp macro="" textlink="piv.tables!BC2">
          <xdr:nvSpPr>
            <xdr:cNvPr id="17" name="Rectangle 16">
              <a:extLst>
                <a:ext uri="{FF2B5EF4-FFF2-40B4-BE49-F238E27FC236}">
                  <a16:creationId xmlns:a16="http://schemas.microsoft.com/office/drawing/2014/main" id="{533FF9F2-9FA9-4C47-9694-2E4CA1D5B4FC}"/>
                </a:ext>
              </a:extLst>
            </xdr:cNvPr>
            <xdr:cNvSpPr/>
          </xdr:nvSpPr>
          <xdr:spPr>
            <a:xfrm>
              <a:off x="4762500" y="882427"/>
              <a:ext cx="971550" cy="257176"/>
            </a:xfrm>
            <a:prstGeom prst="rect">
              <a:avLst/>
            </a:prstGeom>
            <a:solidFill>
              <a:srgbClr val="353B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D2D5C141-FFD7-4E1F-92BB-ED51FDC6D3F6}" type="TxLink">
                <a:rPr lang="en-US" sz="1100" b="1" i="0" u="none" strike="noStrike">
                  <a:solidFill>
                    <a:schemeClr val="bg1"/>
                  </a:solidFill>
                  <a:latin typeface="Aptos Narrow"/>
                </a:rPr>
                <a:pPr algn="ctr"/>
                <a:t>$172,614,729</a:t>
              </a:fld>
              <a:endParaRPr lang="en-US" sz="1100" b="1">
                <a:solidFill>
                  <a:schemeClr val="bg1"/>
                </a:solidFill>
              </a:endParaRPr>
            </a:p>
          </xdr:txBody>
        </xdr:sp>
        <xdr:sp macro="" textlink="piv.tables!BE2">
          <xdr:nvSpPr>
            <xdr:cNvPr id="19" name="Rectangle 18">
              <a:extLst>
                <a:ext uri="{FF2B5EF4-FFF2-40B4-BE49-F238E27FC236}">
                  <a16:creationId xmlns:a16="http://schemas.microsoft.com/office/drawing/2014/main" id="{8FED1A01-F249-46A1-85B5-134189B46088}"/>
                </a:ext>
              </a:extLst>
            </xdr:cNvPr>
            <xdr:cNvSpPr/>
          </xdr:nvSpPr>
          <xdr:spPr>
            <a:xfrm>
              <a:off x="9946438" y="882427"/>
              <a:ext cx="333375" cy="257176"/>
            </a:xfrm>
            <a:prstGeom prst="rect">
              <a:avLst/>
            </a:prstGeom>
            <a:solidFill>
              <a:srgbClr val="353B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65A5ACB-1AFE-49DD-9410-D8FB99A505F5}" type="TxLink">
                <a:rPr lang="en-US" sz="1100" b="1" i="0" u="none" strike="noStrike">
                  <a:solidFill>
                    <a:schemeClr val="bg1"/>
                  </a:solidFill>
                  <a:latin typeface="Aptos Narrow"/>
                </a:rPr>
                <a:pPr algn="ctr"/>
                <a:t>296</a:t>
              </a:fld>
              <a:endParaRPr lang="en-US" sz="1100" b="1">
                <a:solidFill>
                  <a:schemeClr val="bg1"/>
                </a:solidFill>
              </a:endParaRPr>
            </a:p>
          </xdr:txBody>
        </xdr:sp>
        <xdr:sp macro="" textlink="piv.tables!BD2">
          <xdr:nvSpPr>
            <xdr:cNvPr id="20" name="Rectangle 19">
              <a:extLst>
                <a:ext uri="{FF2B5EF4-FFF2-40B4-BE49-F238E27FC236}">
                  <a16:creationId xmlns:a16="http://schemas.microsoft.com/office/drawing/2014/main" id="{CFAE71F4-BE65-43EE-8AC3-BA0DA39CEDA6}"/>
                </a:ext>
              </a:extLst>
            </xdr:cNvPr>
            <xdr:cNvSpPr/>
          </xdr:nvSpPr>
          <xdr:spPr>
            <a:xfrm>
              <a:off x="7153275" y="882427"/>
              <a:ext cx="771525" cy="257176"/>
            </a:xfrm>
            <a:prstGeom prst="rect">
              <a:avLst/>
            </a:prstGeom>
            <a:solidFill>
              <a:srgbClr val="353B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58E07E5-A11C-4326-A686-8AAE8BC4B42E}" type="TxLink">
                <a:rPr lang="en-US" sz="1100" b="1" i="0" u="none" strike="noStrike">
                  <a:solidFill>
                    <a:schemeClr val="bg1"/>
                  </a:solidFill>
                  <a:latin typeface="Aptos Narrow"/>
                </a:rPr>
                <a:pPr algn="ctr"/>
                <a:t>7.66</a:t>
              </a:fld>
              <a:endParaRPr lang="en-US" sz="1100" b="1">
                <a:solidFill>
                  <a:schemeClr val="bg1"/>
                </a:solidFill>
              </a:endParaRPr>
            </a:p>
          </xdr:txBody>
        </xdr:sp>
      </xdr:grpSp>
    </xdr:grp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47630</xdr:colOff>
      <xdr:row>4</xdr:row>
      <xdr:rowOff>9525</xdr:rowOff>
    </xdr:from>
    <xdr:to>
      <xdr:col>7</xdr:col>
      <xdr:colOff>152405</xdr:colOff>
      <xdr:row>23</xdr:row>
      <xdr:rowOff>28574</xdr:rowOff>
    </xdr:to>
    <xdr:graphicFrame macro="">
      <xdr:nvGraphicFramePr>
        <xdr:cNvPr id="2" name="Car Categories by Price Segment">
          <a:extLst>
            <a:ext uri="{FF2B5EF4-FFF2-40B4-BE49-F238E27FC236}">
              <a16:creationId xmlns:a16="http://schemas.microsoft.com/office/drawing/2014/main" id="{CBF9FDF9-8910-4F83-95FC-28E439FEC5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200024</xdr:colOff>
      <xdr:row>4</xdr:row>
      <xdr:rowOff>9525</xdr:rowOff>
    </xdr:from>
    <xdr:to>
      <xdr:col>20</xdr:col>
      <xdr:colOff>266699</xdr:colOff>
      <xdr:row>23</xdr:row>
      <xdr:rowOff>28574</xdr:rowOff>
    </xdr:to>
    <xdr:graphicFrame macro="">
      <xdr:nvGraphicFramePr>
        <xdr:cNvPr id="3" name="car count by seats categories ">
          <a:extLst>
            <a:ext uri="{FF2B5EF4-FFF2-40B4-BE49-F238E27FC236}">
              <a16:creationId xmlns:a16="http://schemas.microsoft.com/office/drawing/2014/main" id="{3444DC43-618B-4110-BA1A-848F1A6BAF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47630</xdr:colOff>
      <xdr:row>23</xdr:row>
      <xdr:rowOff>76203</xdr:rowOff>
    </xdr:from>
    <xdr:to>
      <xdr:col>20</xdr:col>
      <xdr:colOff>266700</xdr:colOff>
      <xdr:row>34</xdr:row>
      <xdr:rowOff>161925</xdr:rowOff>
    </xdr:to>
    <xdr:graphicFrame macro="">
      <xdr:nvGraphicFramePr>
        <xdr:cNvPr id="4" name="car count by cateogory">
          <a:extLst>
            <a:ext uri="{FF2B5EF4-FFF2-40B4-BE49-F238E27FC236}">
              <a16:creationId xmlns:a16="http://schemas.microsoft.com/office/drawing/2014/main" id="{B8E67A8C-07CC-4379-8920-B2DB5AFB0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xdr:row>
      <xdr:rowOff>0</xdr:rowOff>
    </xdr:from>
    <xdr:to>
      <xdr:col>14</xdr:col>
      <xdr:colOff>182880</xdr:colOff>
      <xdr:row>2</xdr:row>
      <xdr:rowOff>175260</xdr:rowOff>
    </xdr:to>
    <xdr:sp macro="" textlink="">
      <xdr:nvSpPr>
        <xdr:cNvPr id="5" name="Rectangle: Rounded Corners 4">
          <a:extLst>
            <a:ext uri="{FF2B5EF4-FFF2-40B4-BE49-F238E27FC236}">
              <a16:creationId xmlns:a16="http://schemas.microsoft.com/office/drawing/2014/main" id="{3B69D139-4980-43CE-A1C4-8A9F333E1FE4}"/>
            </a:ext>
          </a:extLst>
        </xdr:cNvPr>
        <xdr:cNvSpPr/>
      </xdr:nvSpPr>
      <xdr:spPr>
        <a:xfrm>
          <a:off x="4876800" y="190500"/>
          <a:ext cx="3840480" cy="365760"/>
        </a:xfrm>
        <a:prstGeom prst="roundRect">
          <a:avLst/>
        </a:prstGeom>
        <a:solidFill>
          <a:schemeClr val="tx2">
            <a:lumMod val="75000"/>
            <a:lumOff val="25000"/>
          </a:schemeClr>
        </a:solidFill>
        <a:ln>
          <a:solidFill>
            <a:srgbClr val="F4FAEA"/>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solidFill>
                <a:schemeClr val="bg1">
                  <a:lumMod val="85000"/>
                </a:schemeClr>
              </a:solidFill>
              <a:effectLst>
                <a:outerShdw blurRad="63500" sx="102000" sy="102000" algn="ctr" rotWithShape="0">
                  <a:prstClr val="black">
                    <a:alpha val="40000"/>
                  </a:prstClr>
                </a:outerShdw>
              </a:effectLst>
              <a:latin typeface="Bahnschrift SemiLight Condensed" panose="020B0502040204020203" pitchFamily="34" charset="0"/>
            </a:rPr>
            <a:t>Car segmentation</a:t>
          </a:r>
          <a:r>
            <a:rPr lang="en-US" sz="2400" b="1" baseline="0">
              <a:solidFill>
                <a:schemeClr val="bg1">
                  <a:lumMod val="85000"/>
                </a:schemeClr>
              </a:solidFill>
              <a:effectLst>
                <a:outerShdw blurRad="63500" sx="102000" sy="102000" algn="ctr" rotWithShape="0">
                  <a:prstClr val="black">
                    <a:alpha val="40000"/>
                  </a:prstClr>
                </a:outerShdw>
              </a:effectLst>
              <a:latin typeface="Bahnschrift SemiLight Condensed" panose="020B0502040204020203" pitchFamily="34" charset="0"/>
            </a:rPr>
            <a:t> insights</a:t>
          </a:r>
          <a:endParaRPr lang="en-US" sz="2400" b="1">
            <a:solidFill>
              <a:schemeClr val="bg1">
                <a:lumMod val="85000"/>
              </a:schemeClr>
            </a:solidFill>
            <a:effectLst>
              <a:outerShdw blurRad="63500" sx="102000" sy="102000" algn="ctr" rotWithShape="0">
                <a:prstClr val="black">
                  <a:alpha val="40000"/>
                </a:prstClr>
              </a:outerShdw>
            </a:effectLst>
            <a:latin typeface="Bahnschrift SemiLight Condensed" panose="020B0502040204020203" pitchFamily="34" charset="0"/>
          </a:endParaRPr>
        </a:p>
      </xdr:txBody>
    </xdr:sp>
    <xdr:clientData/>
  </xdr:twoCellAnchor>
  <xdr:twoCellAnchor editAs="oneCell">
    <xdr:from>
      <xdr:col>0</xdr:col>
      <xdr:colOff>85725</xdr:colOff>
      <xdr:row>0</xdr:row>
      <xdr:rowOff>0</xdr:rowOff>
    </xdr:from>
    <xdr:to>
      <xdr:col>1</xdr:col>
      <xdr:colOff>438150</xdr:colOff>
      <xdr:row>4</xdr:row>
      <xdr:rowOff>85724</xdr:rowOff>
    </xdr:to>
    <xdr:pic>
      <xdr:nvPicPr>
        <xdr:cNvPr id="6" name="Picture 5">
          <a:extLst>
            <a:ext uri="{FF2B5EF4-FFF2-40B4-BE49-F238E27FC236}">
              <a16:creationId xmlns:a16="http://schemas.microsoft.com/office/drawing/2014/main" id="{43A2F92A-2E35-47DC-A591-31DF36AE5AB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5725" y="0"/>
          <a:ext cx="962025" cy="84772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74305553" createdVersion="5" refreshedVersion="8" minRefreshableVersion="3" recordCount="0" supportSubquery="1" supportAdvancedDrill="1" xr:uid="{3276A9BF-FDE6-446E-8E5D-711039D0B8C1}">
  <cacheSource type="external" connectionId="4"/>
  <cacheFields count="3">
    <cacheField name="[cars_datasets_2025].[company_names].[company_names]" caption="company_names" numFmtId="0" hierarchy="1" level="1">
      <sharedItems count="31">
        <s v="acura"/>
        <s v="aston martin"/>
        <s v="audi"/>
        <s v="bentley"/>
        <s v="bmw"/>
        <s v="bugatti"/>
        <s v="cadillac"/>
        <s v="chevrolet"/>
        <s v="ferrari"/>
        <s v="ford"/>
        <s v="gmc"/>
        <s v="honda"/>
        <s v="hyundai"/>
        <s v="jaguar land rover"/>
        <s v="jeep"/>
        <s v="kia"/>
        <s v="lamborghini"/>
        <s v="mahindra"/>
        <s v="maruti suzuki"/>
        <s v="mazda"/>
        <s v="mercedes"/>
        <s v="mitsubishi"/>
        <s v="nissan"/>
        <s v="peugeot"/>
        <s v="porsche"/>
        <s v="rolls royce"/>
        <s v="tata motors"/>
        <s v="tesla"/>
        <s v="toyota"/>
        <s v="volkswagen"/>
        <s v="volvo"/>
      </sharedItems>
    </cacheField>
    <cacheField name="[Measures].[Count of id]" caption="Count of id" numFmtId="0" hierarchy="35" level="32767"/>
    <cacheField name="[cars_datasets_2025].[CarCategory].[CarCategory]" caption="CarCategory" numFmtId="0" hierarchy="14" level="1">
      <sharedItems count="6">
        <s v="Economic Compact"/>
        <s v="Family Utility"/>
        <s v="Green Tech"/>
        <s v="Luxury Performance"/>
        <s v="Other"/>
        <s v="Sports Car"/>
      </sharedItems>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0"/>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fieldsUsage count="2">
        <fieldUsage x="-1"/>
        <fieldUsage x="2"/>
      </fieldsUsage>
    </cacheHierarchy>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oneField="1">
      <fieldsUsage count="1">
        <fieldUsage x="1"/>
      </fieldsUsage>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74884261" createdVersion="5" refreshedVersion="8" minRefreshableVersion="3" recordCount="0" supportSubquery="1" supportAdvancedDrill="1" xr:uid="{DD486A3D-E43F-4690-A463-7C6EB85DF009}">
  <cacheSource type="external" connectionId="4"/>
  <cacheFields count="2">
    <cacheField name="[cars_datasets_2025].[company_names].[company_names]" caption="company_names" numFmtId="0" hierarchy="1" level="1">
      <sharedItems count="31">
        <s v="acura"/>
        <s v="aston martin"/>
        <s v="audi"/>
        <s v="bentley"/>
        <s v="bmw"/>
        <s v="bugatti"/>
        <s v="cadillac"/>
        <s v="chevrolet"/>
        <s v="ferrari"/>
        <s v="ford"/>
        <s v="gmc"/>
        <s v="honda"/>
        <s v="hyundai"/>
        <s v="jaguar land rover"/>
        <s v="jeep"/>
        <s v="kia"/>
        <s v="lamborghini"/>
        <s v="mahindra"/>
        <s v="maruti suzuki"/>
        <s v="mazda"/>
        <s v="mercedes"/>
        <s v="mitsubishi"/>
        <s v="nissan"/>
        <s v="peugeot"/>
        <s v="porsche"/>
        <s v="rolls royce"/>
        <s v="tata motors"/>
        <s v="tesla"/>
        <s v="toyota"/>
        <s v="volkswagen"/>
        <s v="volvo"/>
      </sharedItems>
    </cacheField>
    <cacheField name="[Measures].[Average of cars_prices]" caption="Average of cars_prices" numFmtId="0" hierarchy="27" level="32767"/>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0"/>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oneField="1">
      <fieldsUsage count="1">
        <fieldUsage x="1"/>
      </fieldsUsage>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75462962" createdVersion="5" refreshedVersion="8" minRefreshableVersion="3" recordCount="0" supportSubquery="1" supportAdvancedDrill="1" xr:uid="{5C71D738-61FB-4DAC-9C5B-78F11F46D674}">
  <cacheSource type="external" connectionId="4"/>
  <cacheFields count="3">
    <cacheField name="[cars_datasets_2025].[fuel_types].[fuel_types]" caption="fuel_types" numFmtId="0" hierarchy="9" level="1">
      <sharedItems count="14">
        <s v="awd"/>
        <s v="cng"/>
        <s v="diesel"/>
        <s v="diesel hybrid"/>
        <s v="electric"/>
        <s v="ev"/>
        <s v="gas"/>
        <s v="hybrid"/>
        <s v="hybrid gas + electric"/>
        <s v="hydrogen"/>
        <s v="petrol"/>
        <s v="petrol hybrid"/>
        <s v="plug in"/>
        <s v="plug in hybrid"/>
      </sharedItems>
    </cacheField>
    <cacheField name="[Measures].[Average of cars_prices]" caption="Average of cars_prices" numFmtId="0" hierarchy="27" level="32767"/>
    <cacheField name="[cars_datasets_2025].[company_names].[company_names]" caption="company_names" numFmtId="0" hierarchy="1" level="1">
      <sharedItems containsSemiMixedTypes="0" containsNonDate="0" containsString="0"/>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2"/>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2" memberValueDatatype="130" unbalanced="0">
      <fieldsUsage count="2">
        <fieldUsage x="-1"/>
        <fieldUsage x="0"/>
      </fieldsUsage>
    </cacheHierarchy>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oneField="1">
      <fieldsUsage count="1">
        <fieldUsage x="1"/>
      </fieldsUsage>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77083332" createdVersion="5" refreshedVersion="8" minRefreshableVersion="3" recordCount="0" supportSubquery="1" supportAdvancedDrill="1" xr:uid="{BFF9E2E9-FDF4-40B9-BF2C-F7F05AD0F54D}">
  <cacheSource type="external" connectionId="4"/>
  <cacheFields count="4">
    <cacheField name="[cars_datasets_2025].[cars_names].[cars_names]" caption="cars_names" numFmtId="0" hierarchy="2" level="1">
      <sharedItems count="10">
        <s v="carol p360"/>
        <s v="indica ev2"/>
        <s v="indica v2 xeta"/>
        <s v="indigo ecs"/>
        <s v="indigo glx"/>
        <s v="indigo lx"/>
        <s v="nano genx"/>
        <s v="spiano"/>
        <s v="tiago"/>
        <s v="tiago nrg"/>
      </sharedItems>
    </cacheField>
    <cacheField name="[cars_datasets_2025].[company_names].[company_names]" caption="company_names" numFmtId="0" hierarchy="1" level="1">
      <sharedItems count="2">
        <s v="mazda"/>
        <s v="tata motors"/>
      </sharedItems>
    </cacheField>
    <cacheField name="[Measures].[Min of cars_prices]" caption="Min of cars_prices" numFmtId="0" hierarchy="31" level="32767"/>
    <cacheField name="[cars_datasets_2025].[cars_prices].[cars_prices]" caption="cars_prices" numFmtId="0" hierarchy="8" level="1">
      <sharedItems containsSemiMixedTypes="0" containsNonDate="0" containsString="0"/>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1"/>
      </fieldsUsage>
    </cacheHierarchy>
    <cacheHierarchy uniqueName="[cars_datasets_2025].[cars_names]" caption="cars_names" attribute="1" defaultMemberUniqueName="[cars_datasets_2025].[cars_names].[All]" allUniqueName="[cars_datasets_2025].[cars_names].[All]" dimensionUniqueName="[cars_datasets_2025]" displayFolder="" count="2" memberValueDatatype="130" unbalanced="0">
      <fieldsUsage count="2">
        <fieldUsage x="-1"/>
        <fieldUsage x="0"/>
      </fieldsUsage>
    </cacheHierarchy>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2" memberValueDatatype="5" unbalanced="0">
      <fieldsUsage count="2">
        <fieldUsage x="-1"/>
        <fieldUsage x="3"/>
      </fieldsUsage>
    </cacheHierarchy>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oneField="1">
      <fieldsUsage count="1">
        <fieldUsage x="2"/>
      </fieldsUsage>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77546294" createdVersion="5" refreshedVersion="8" minRefreshableVersion="3" recordCount="0" supportSubquery="1" supportAdvancedDrill="1" xr:uid="{7CB4B26F-42F6-41B6-8FC1-EE76BD67AC19}">
  <cacheSource type="external" connectionId="4"/>
  <cacheFields count="4">
    <cacheField name="[cars_datasets_2025].[fuel_types].[fuel_types]" caption="fuel_types" numFmtId="0" hierarchy="9" level="1">
      <sharedItems count="14">
        <s v="awd"/>
        <s v="cng"/>
        <s v="diesel"/>
        <s v="diesel hybrid"/>
        <s v="electric"/>
        <s v="ev"/>
        <s v="gas"/>
        <s v="hybrid"/>
        <s v="hybrid gas + electric"/>
        <s v="hydrogen"/>
        <s v="petrol"/>
        <s v="petrol hybrid"/>
        <s v="plug in"/>
        <s v="plug in hybrid"/>
      </sharedItems>
    </cacheField>
    <cacheField name="[Measures].[Count of id]" caption="Count of id" numFmtId="0" hierarchy="35" level="32767"/>
    <cacheField name="[cars_datasets_2025].[FuelType_Grouped].[FuelType_Grouped]" caption="FuelType_Grouped" numFmtId="0" hierarchy="15" level="1">
      <sharedItems count="5">
        <s v="diesel"/>
        <s v="electric"/>
        <s v="hybrid"/>
        <s v="Others"/>
        <s v="petrol"/>
      </sharedItems>
    </cacheField>
    <cacheField name="[cars_datasets_2025].[company_names].[company_names]" caption="company_names" numFmtId="0" hierarchy="1" level="1">
      <sharedItems containsSemiMixedTypes="0" containsNonDate="0" containsString="0"/>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3"/>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2" memberValueDatatype="130" unbalanced="0">
      <fieldsUsage count="2">
        <fieldUsage x="-1"/>
        <fieldUsage x="0"/>
      </fieldsUsage>
    </cacheHierarchy>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2" memberValueDatatype="130" unbalanced="0">
      <fieldsUsage count="2">
        <fieldUsage x="-1"/>
        <fieldUsage x="2"/>
      </fieldsUsage>
    </cacheHierarchy>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oneField="1">
      <fieldsUsage count="1">
        <fieldUsage x="1"/>
      </fieldsUsage>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78125002" createdVersion="5" refreshedVersion="8" minRefreshableVersion="3" recordCount="0" supportSubquery="1" supportAdvancedDrill="1" xr:uid="{A903B92E-8963-428C-B231-0538E16F8EE9}">
  <cacheSource type="external" connectionId="4"/>
  <cacheFields count="3">
    <cacheField name="[cars_datasets_2025].[company_names].[company_names]" caption="company_names" numFmtId="0" hierarchy="1" level="1">
      <sharedItems count="31">
        <s v="acura"/>
        <s v="aston martin"/>
        <s v="audi"/>
        <s v="bentley"/>
        <s v="bmw"/>
        <s v="bugatti"/>
        <s v="cadillac"/>
        <s v="chevrolet"/>
        <s v="ferrari"/>
        <s v="ford"/>
        <s v="gmc"/>
        <s v="honda"/>
        <s v="hyundai"/>
        <s v="jaguar land rover"/>
        <s v="jeep"/>
        <s v="kia"/>
        <s v="lamborghini"/>
        <s v="mahindra"/>
        <s v="maruti suzuki"/>
        <s v="mazda"/>
        <s v="mercedes"/>
        <s v="mitsubishi"/>
        <s v="nissan"/>
        <s v="peugeot"/>
        <s v="porsche"/>
        <s v="rolls royce"/>
        <s v="tata motors"/>
        <s v="tesla"/>
        <s v="toyota"/>
        <s v="volkswagen"/>
        <s v="volvo"/>
      </sharedItems>
    </cacheField>
    <cacheField name="[cars_datasets_2025].[PriceSegment].[PriceSegment]" caption="PriceSegment" numFmtId="0" hierarchy="12" level="1">
      <sharedItems containsBlank="1" count="7">
        <m/>
        <s v="Economy"/>
        <s v="Luxury"/>
        <s v="Premium"/>
        <s v="Regular"/>
        <s v="Super Luxury"/>
        <s v="Ultra Economy"/>
      </sharedItems>
    </cacheField>
    <cacheField name="[Measures].[Count of id]" caption="Count of id" numFmtId="0" hierarchy="35" level="32767"/>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0"/>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fieldsUsage count="2">
        <fieldUsage x="-1"/>
        <fieldUsage x="1"/>
      </fieldsUsage>
    </cacheHierarchy>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oneField="1">
      <fieldsUsage count="1">
        <fieldUsage x="2"/>
      </fieldsUsage>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78819441" createdVersion="5" refreshedVersion="8" minRefreshableVersion="3" recordCount="0" supportSubquery="1" supportAdvancedDrill="1" xr:uid="{DF8C729A-8105-4D03-AE5B-CDEA2CAFAC1C}">
  <cacheSource type="external" connectionId="4"/>
  <cacheFields count="3">
    <cacheField name="[cars_datasets_2025].[company_names].[company_names]" caption="company_names" numFmtId="0" hierarchy="1" level="1">
      <sharedItems count="31">
        <s v="acura"/>
        <s v="aston martin"/>
        <s v="audi"/>
        <s v="bentley"/>
        <s v="bmw"/>
        <s v="bugatti"/>
        <s v="cadillac"/>
        <s v="chevrolet"/>
        <s v="ferrari"/>
        <s v="ford"/>
        <s v="gmc"/>
        <s v="honda"/>
        <s v="hyundai"/>
        <s v="jaguar land rover"/>
        <s v="jeep"/>
        <s v="kia"/>
        <s v="lamborghini"/>
        <s v="mahindra"/>
        <s v="maruti suzuki"/>
        <s v="mazda"/>
        <s v="mercedes"/>
        <s v="mitsubishi"/>
        <s v="nissan"/>
        <s v="peugeot"/>
        <s v="porsche"/>
        <s v="rolls royce"/>
        <s v="tata motors"/>
        <s v="tesla"/>
        <s v="toyota"/>
        <s v="volkswagen"/>
        <s v="volvo"/>
      </sharedItems>
    </cacheField>
    <cacheField name="[Measures].[Count of id]" caption="Count of id" numFmtId="0" hierarchy="35" level="32767"/>
    <cacheField name="[cars_datasets_2025].[SeatCategory].[SeatCategory]" caption="SeatCategory" numFmtId="0" hierarchy="13" level="1">
      <sharedItems count="4">
        <s v="Compact"/>
        <s v="Family"/>
        <s v="Small"/>
        <s v="Van/Bus"/>
      </sharedItems>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0"/>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fieldsUsage count="2">
        <fieldUsage x="-1"/>
        <fieldUsage x="2"/>
      </fieldsUsage>
    </cacheHierarchy>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oneField="1">
      <fieldsUsage count="1">
        <fieldUsage x="1"/>
      </fieldsUsage>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79976849" createdVersion="5" refreshedVersion="8" minRefreshableVersion="3" recordCount="0" supportSubquery="1" supportAdvancedDrill="1" xr:uid="{F5C3B0AA-B3F7-40EA-AC76-9D8FDAF563DF}">
  <cacheSource type="external" connectionId="4"/>
  <cacheFields count="3">
    <cacheField name="[cars_datasets_2025].[cars_names].[cars_names]" caption="cars_names" numFmtId="0" hierarchy="2" level="1">
      <sharedItems count="10">
        <s v="787b race car"/>
        <s v="bolide"/>
        <s v="centodieci"/>
        <s v="chiron noire"/>
        <s v="chiron pur sport"/>
        <s v="chiron super sport"/>
        <s v="divo"/>
        <s v="la voiture noire"/>
        <s v="mistral"/>
        <s v="veneno roadster"/>
      </sharedItems>
    </cacheField>
    <cacheField name="[cars_datasets_2025].[company_names].[company_names]" caption="company_names" numFmtId="0" hierarchy="1" level="1">
      <sharedItems count="3">
        <s v="mazda"/>
        <s v="bugatti"/>
        <s v="lamborghini"/>
      </sharedItems>
    </cacheField>
    <cacheField name="[Measures].[max_price]" caption="max_price" numFmtId="0" hierarchy="40" level="32767"/>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1"/>
      </fieldsUsage>
    </cacheHierarchy>
    <cacheHierarchy uniqueName="[cars_datasets_2025].[cars_names]" caption="cars_names" attribute="1" defaultMemberUniqueName="[cars_datasets_2025].[cars_names].[All]" allUniqueName="[cars_datasets_2025].[cars_names].[All]" dimensionUniqueName="[cars_datasets_2025]" displayFolder="" count="2" memberValueDatatype="130" unbalanced="0">
      <fieldsUsage count="2">
        <fieldUsage x="-1"/>
        <fieldUsage x="0"/>
      </fieldsUsage>
    </cacheHierarchy>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oneField="1">
      <fieldsUsage count="1">
        <fieldUsage x="2"/>
      </fieldsUsage>
    </cacheHierarchy>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81249996" createdVersion="5" refreshedVersion="8" minRefreshableVersion="3" recordCount="0" supportSubquery="1" supportAdvancedDrill="1" xr:uid="{96C19A52-170A-4DA2-99F9-626E7E4EAD7B}">
  <cacheSource type="external" connectionId="4"/>
  <cacheFields count="4">
    <cacheField name="[cars_datasets_2025].[cars_names].[cars_names]" caption="cars_names" numFmtId="0" hierarchy="2" level="1">
      <sharedItems count="10">
        <s v="bolide"/>
        <s v="centodieci"/>
        <s v="chiron pur sport"/>
        <s v="chiron sport"/>
        <s v="chiron super sport"/>
        <s v="divo"/>
        <s v="mistral"/>
        <s v="model s plaid"/>
        <s v="roadster 2"/>
        <s v="valkyrie"/>
      </sharedItems>
    </cacheField>
    <cacheField name="[cars_datasets_2025].[company_names].[company_names]" caption="company_names" numFmtId="0" hierarchy="1" level="1">
      <sharedItems count="3">
        <s v="bugatti"/>
        <s v="tesla"/>
        <s v="aston martin"/>
      </sharedItems>
    </cacheField>
    <cacheField name="[cars_datasets_2025].[performance_0_100_kmh_sec].[performance_0_100_kmh_sec]" caption="performance_0_100_kmh_sec" numFmtId="0" hierarchy="7" level="1">
      <sharedItems containsSemiMixedTypes="0" containsString="0" containsNumber="1" minValue="1.9" maxValue="35" count="24">
        <n v="3.9"/>
        <n v="3.4"/>
        <n v="4.2"/>
        <n v="2.5"/>
        <n v="3.6"/>
        <n v="2.8"/>
        <n v="4" u="1"/>
        <n v="3.2" u="1"/>
        <n v="4.8" u="1"/>
        <n v="4.7" u="1"/>
        <n v="4.3" u="1"/>
        <n v="2.2000000000000002" u="1"/>
        <n v="2.4" u="1"/>
        <n v="2.2999999999999998" u="1"/>
        <n v="2.1" u="1"/>
        <n v="1.9" u="1"/>
        <n v="18" u="1"/>
        <n v="35" u="1"/>
        <n v="18.5" u="1"/>
        <n v="23" u="1"/>
        <n v="29" u="1"/>
        <n v="17.600000000000001" u="1"/>
        <n v="20" u="1"/>
        <n v="22" u="1"/>
      </sharedItems>
    </cacheField>
    <cacheField name="[Measures].[Average of performance_0_100_kmh_sec]" caption="Average of performance_0_100_kmh_sec" numFmtId="0" hierarchy="29" level="32767"/>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1"/>
      </fieldsUsage>
    </cacheHierarchy>
    <cacheHierarchy uniqueName="[cars_datasets_2025].[cars_names]" caption="cars_names" attribute="1" defaultMemberUniqueName="[cars_datasets_2025].[cars_names].[All]" allUniqueName="[cars_datasets_2025].[cars_names].[All]" dimensionUniqueName="[cars_datasets_2025]" displayFolder="" count="2" memberValueDatatype="130" unbalanced="0">
      <fieldsUsage count="2">
        <fieldUsage x="-1"/>
        <fieldUsage x="0"/>
      </fieldsUsage>
    </cacheHierarchy>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2" memberValueDatatype="5" unbalanced="0">
      <fieldsUsage count="2">
        <fieldUsage x="-1"/>
        <fieldUsage x="2"/>
      </fieldsUsage>
    </cacheHierarchy>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oneField="1">
      <fieldsUsage count="1">
        <fieldUsage x="3"/>
      </fieldsUsage>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82175928" createdVersion="5" refreshedVersion="8" minRefreshableVersion="3" recordCount="0" supportSubquery="1" supportAdvancedDrill="1" xr:uid="{C3924E8B-EF7D-4F24-ACD2-9F5B2E5C782C}">
  <cacheSource type="external" connectionId="4"/>
  <cacheFields count="3">
    <cacheField name="[cars_datasets_2025].[company_names].[company_names]" caption="company_names" numFmtId="0" hierarchy="1" level="1">
      <sharedItems count="5">
        <s v="peugeot"/>
        <s v="porsche"/>
        <s v="hyundai"/>
        <s v="volkswagen"/>
        <s v="jaguar land rover"/>
      </sharedItems>
    </cacheField>
    <cacheField name="[cars_datasets_2025].[cars_names].[cars_names]" caption="cars_names" numFmtId="0" hierarchy="2" level="1">
      <sharedItems count="10">
        <s v="508 pse peugeot sport engineered"/>
        <s v="911 carrera 4"/>
        <s v="elantra"/>
        <s v="golf"/>
        <s v="jaguar f type"/>
        <s v="macan gts"/>
        <s v="macan s"/>
        <s v="panamera 4s"/>
        <s v="panamera platinum edition"/>
        <s v="polo bluemotion"/>
      </sharedItems>
    </cacheField>
    <cacheField name="[Measures].[Average of total_speed]" caption="Average of total_speed" numFmtId="0" hierarchy="25" level="32767"/>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0"/>
      </fieldsUsage>
    </cacheHierarchy>
    <cacheHierarchy uniqueName="[cars_datasets_2025].[cars_names]" caption="cars_names" attribute="1" defaultMemberUniqueName="[cars_datasets_2025].[cars_names].[All]" allUniqueName="[cars_datasets_2025].[cars_names].[All]" dimensionUniqueName="[cars_datasets_2025]" displayFolder="" count="2" memberValueDatatype="130" unbalanced="0">
      <fieldsUsage count="2">
        <fieldUsage x="-1"/>
        <fieldUsage x="1"/>
      </fieldsUsage>
    </cacheHierarchy>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oneField="1">
      <fieldsUsage count="1">
        <fieldUsage x="2"/>
      </fieldsUsage>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82523151" createdVersion="5" refreshedVersion="8" minRefreshableVersion="3" recordCount="0" supportSubquery="1" supportAdvancedDrill="1" xr:uid="{6E6629A4-1693-4700-9CB6-F1CF97605CC1}">
  <cacheSource type="external" connectionId="4"/>
  <cacheFields count="2">
    <cacheField name="[Measures].[% Petrol]" caption="% Petrol" numFmtId="0" hierarchy="46" level="32767"/>
    <cacheField name="[cars_datasets_2025].[company_names].[company_names]" caption="company_names" numFmtId="0" hierarchy="1" level="1">
      <sharedItems containsSemiMixedTypes="0" containsNonDate="0" containsString="0"/>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1"/>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0"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oneField="1">
      <fieldsUsage count="1">
        <fieldUsage x="0"/>
      </fieldsUsage>
    </cacheHierarchy>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82638889" createdVersion="5" refreshedVersion="8" minRefreshableVersion="3" recordCount="0" supportSubquery="1" supportAdvancedDrill="1" xr:uid="{45D2DEA4-BF35-48B2-BE60-ACDC64F93352}">
  <cacheSource type="external" connectionId="4"/>
  <cacheFields count="2">
    <cacheField name="[Measures].[avg hourse power]" caption="avg hourse power" numFmtId="0" hierarchy="45" level="32767"/>
    <cacheField name="[cars_datasets_2025].[company_names].[company_names]" caption="company_names" numFmtId="0" hierarchy="1" level="1">
      <sharedItems containsSemiMixedTypes="0" containsNonDate="0" containsString="0"/>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1"/>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oneField="1">
      <fieldsUsage count="1">
        <fieldUsage x="0"/>
      </fieldsUsage>
    </cacheHierarchy>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82986113" createdVersion="5" refreshedVersion="8" minRefreshableVersion="3" recordCount="0" supportSubquery="1" supportAdvancedDrill="1" xr:uid="{280DD590-CA7F-4E33-9DB1-0D1F16AA19AD}">
  <cacheSource type="external" connectionId="4"/>
  <cacheFields count="2">
    <cacheField name="[Measures].[avg performance]" caption="avg performance" numFmtId="0" hierarchy="44" level="32767"/>
    <cacheField name="[cars_datasets_2025].[company_names].[company_names]" caption="company_names" numFmtId="0" hierarchy="1" level="1">
      <sharedItems containsSemiMixedTypes="0" containsNonDate="0" containsString="0"/>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1"/>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oneField="1">
      <fieldsUsage count="1">
        <fieldUsage x="0"/>
      </fieldsUsage>
    </cacheHierarchy>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8321759" createdVersion="5" refreshedVersion="8" minRefreshableVersion="3" recordCount="0" supportSubquery="1" supportAdvancedDrill="1" xr:uid="{5143B519-1811-4845-B62A-92A487C62F22}">
  <cacheSource type="external" connectionId="4"/>
  <cacheFields count="2">
    <cacheField name="[Measures].[cars count]" caption="cars count" numFmtId="0" hierarchy="42" level="32767"/>
    <cacheField name="[cars_datasets_2025].[company_names].[company_names]" caption="company_names" numFmtId="0" hierarchy="1" level="1">
      <sharedItems containsSemiMixedTypes="0" containsNonDate="0" containsString="0"/>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1"/>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0"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oneField="1">
      <fieldsUsage count="1">
        <fieldUsage x="0"/>
      </fieldsUsage>
    </cacheHierarchy>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645683333336" createdVersion="5" refreshedVersion="8" minRefreshableVersion="3" recordCount="0" supportSubquery="1" supportAdvancedDrill="1" xr:uid="{1852801D-3AB1-4595-AC9E-4EB3F952B260}">
  <cacheSource type="external" connectionId="4"/>
  <cacheFields count="2">
    <cacheField name="[Measures].[total prices]" caption="total prices" numFmtId="0" hierarchy="43" level="32767"/>
    <cacheField name="[cars_datasets_2025].[company_names].[company_names]" caption="company_names" numFmtId="0" hierarchy="1" level="1">
      <sharedItems containsSemiMixedTypes="0" containsNonDate="0" containsString="0"/>
    </cacheField>
  </cacheFields>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fieldsUsage count="2">
        <fieldUsage x="-1"/>
        <fieldUsage x="1"/>
      </fieldsUsage>
    </cacheHierarchy>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oneField="1">
      <fieldsUsage count="1">
        <fieldUsage x="0"/>
      </fieldsUsage>
    </cacheHierarchy>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dimensions count="4">
    <dimension name="cars_datasets_2025" uniqueName="[cars_datasets_2025]" caption="cars_datasets_2025"/>
    <dimension name="cars_metrics_summary" uniqueName="[cars_metrics_summary]" caption="cars_metrics_summary"/>
    <dimension name="fuel_usage_by_company" uniqueName="[fuel_usage_by_company]" caption="fuel_usage_by_company"/>
    <dimension measure="1" name="Measures" uniqueName="[Measures]" caption="Measures"/>
  </dimensions>
  <measureGroups count="3">
    <measureGroup name="cars_datasets_2025" caption="cars_datasets_2025"/>
    <measureGroup name="cars_metrics_summary" caption="cars_metrics_summary"/>
    <measureGroup name="fuel_usage_by_company" caption="fuel_usage_by_company"/>
  </measureGroups>
  <maps count="3">
    <map measureGroup="0" dimension="0"/>
    <map measureGroup="1"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081.507930324071" createdVersion="3" refreshedVersion="8" minRefreshableVersion="3" recordCount="0" supportSubquery="1" supportAdvancedDrill="1" xr:uid="{858B9350-CB59-4BB5-92A6-12440339FEA0}">
  <cacheSource type="external" connectionId="4">
    <extLst>
      <ext xmlns:x14="http://schemas.microsoft.com/office/spreadsheetml/2009/9/main" uri="{F057638F-6D5F-4e77-A914-E7F072B9BCA8}">
        <x14:sourceConnection name="ThisWorkbookDataModel"/>
      </ext>
    </extLst>
  </cacheSource>
  <cacheFields count="0"/>
  <cacheHierarchies count="51">
    <cacheHierarchy uniqueName="[cars_datasets_2025].[id]" caption="id" attribute="1" defaultMemberUniqueName="[cars_datasets_2025].[id].[All]" allUniqueName="[cars_datasets_2025].[id].[All]" dimensionUniqueName="[cars_datasets_2025]" displayFolder="" count="0" memberValueDatatype="20" unbalanced="0"/>
    <cacheHierarchy uniqueName="[cars_datasets_2025].[company_names]" caption="company_names" attribute="1" defaultMemberUniqueName="[cars_datasets_2025].[company_names].[All]" allUniqueName="[cars_datasets_2025].[company_names].[All]" dimensionUniqueName="[cars_datasets_2025]" displayFolder="" count="2" memberValueDatatype="130" unbalanced="0"/>
    <cacheHierarchy uniqueName="[cars_datasets_2025].[cars_names]" caption="cars_names" attribute="1" defaultMemberUniqueName="[cars_datasets_2025].[cars_names].[All]" allUniqueName="[cars_datasets_2025].[cars_names].[All]" dimensionUniqueName="[cars_datasets_2025]" displayFolder="" count="0" memberValueDatatype="130" unbalanced="0"/>
    <cacheHierarchy uniqueName="[cars_datasets_2025].[engines]" caption="engines" attribute="1" defaultMemberUniqueName="[cars_datasets_2025].[engines].[All]" allUniqueName="[cars_datasets_2025].[engines].[All]" dimensionUniqueName="[cars_datasets_2025]" displayFolder="" count="0" memberValueDatatype="130" unbalanced="0"/>
    <cacheHierarchy uniqueName="[cars_datasets_2025].[cc_battery_capacity]" caption="cc_battery_capacity" attribute="1" defaultMemberUniqueName="[cars_datasets_2025].[cc_battery_capacity].[All]" allUniqueName="[cars_datasets_2025].[cc_battery_capacity].[All]" dimensionUniqueName="[cars_datasets_2025]" displayFolder="" count="0" memberValueDatatype="130" unbalanced="0"/>
    <cacheHierarchy uniqueName="[cars_datasets_2025].[horse_power]" caption="horse_power" attribute="1" defaultMemberUniqueName="[cars_datasets_2025].[horse_power].[All]" allUniqueName="[cars_datasets_2025].[horse_power].[All]" dimensionUniqueName="[cars_datasets_2025]" displayFolder="" count="0" memberValueDatatype="5" unbalanced="0"/>
    <cacheHierarchy uniqueName="[cars_datasets_2025].[total_speed]" caption="total_speed" attribute="1" defaultMemberUniqueName="[cars_datasets_2025].[total_speed].[All]" allUniqueName="[cars_datasets_2025].[total_speed].[All]" dimensionUniqueName="[cars_datasets_2025]" displayFolder="" count="0" memberValueDatatype="5" unbalanced="0"/>
    <cacheHierarchy uniqueName="[cars_datasets_2025].[performance_0_100_kmh_sec]" caption="performance_0_100_kmh_sec" attribute="1" defaultMemberUniqueName="[cars_datasets_2025].[performance_0_100_kmh_sec].[All]" allUniqueName="[cars_datasets_2025].[performance_0_100_kmh_sec].[All]" dimensionUniqueName="[cars_datasets_2025]" displayFolder="" count="0" memberValueDatatype="5" unbalanced="0"/>
    <cacheHierarchy uniqueName="[cars_datasets_2025].[cars_prices]" caption="cars_prices" attribute="1" defaultMemberUniqueName="[cars_datasets_2025].[cars_prices].[All]" allUniqueName="[cars_datasets_2025].[cars_prices].[All]" dimensionUniqueName="[cars_datasets_2025]" displayFolder="" count="0" memberValueDatatype="5" unbalanced="0"/>
    <cacheHierarchy uniqueName="[cars_datasets_2025].[fuel_types]" caption="fuel_types" attribute="1" defaultMemberUniqueName="[cars_datasets_2025].[fuel_types].[All]" allUniqueName="[cars_datasets_2025].[fuel_types].[All]" dimensionUniqueName="[cars_datasets_2025]" displayFolder="" count="0" memberValueDatatype="130" unbalanced="0"/>
    <cacheHierarchy uniqueName="[cars_datasets_2025].[seats]" caption="seats" attribute="1" defaultMemberUniqueName="[cars_datasets_2025].[seats].[All]" allUniqueName="[cars_datasets_2025].[seats].[All]" dimensionUniqueName="[cars_datasets_2025]" displayFolder="" count="0" memberValueDatatype="130" unbalanced="0"/>
    <cacheHierarchy uniqueName="[cars_datasets_2025].[torque_nm]" caption="torque_nm" attribute="1" defaultMemberUniqueName="[cars_datasets_2025].[torque_nm].[All]" allUniqueName="[cars_datasets_2025].[torque_nm].[All]" dimensionUniqueName="[cars_datasets_2025]" displayFolder="" count="0" memberValueDatatype="5" unbalanced="0"/>
    <cacheHierarchy uniqueName="[cars_datasets_2025].[PriceSegment]" caption="PriceSegment" attribute="1" defaultMemberUniqueName="[cars_datasets_2025].[PriceSegment].[All]" allUniqueName="[cars_datasets_2025].[PriceSegment].[All]" dimensionUniqueName="[cars_datasets_2025]" displayFolder="" count="2" memberValueDatatype="130" unbalanced="0"/>
    <cacheHierarchy uniqueName="[cars_datasets_2025].[SeatCategory]" caption="SeatCategory" attribute="1" defaultMemberUniqueName="[cars_datasets_2025].[SeatCategory].[All]" allUniqueName="[cars_datasets_2025].[SeatCategory].[All]" dimensionUniqueName="[cars_datasets_2025]" displayFolder="" count="2" memberValueDatatype="130" unbalanced="0"/>
    <cacheHierarchy uniqueName="[cars_datasets_2025].[CarCategory]" caption="CarCategory" attribute="1" defaultMemberUniqueName="[cars_datasets_2025].[CarCategory].[All]" allUniqueName="[cars_datasets_2025].[CarCategory].[All]" dimensionUniqueName="[cars_datasets_2025]" displayFolder="" count="2" memberValueDatatype="130" unbalanced="0"/>
    <cacheHierarchy uniqueName="[cars_datasets_2025].[FuelType_Grouped]" caption="FuelType_Grouped" attribute="1" defaultMemberUniqueName="[cars_datasets_2025].[FuelType_Grouped].[All]" allUniqueName="[cars_datasets_2025].[FuelType_Grouped].[All]" dimensionUniqueName="[cars_datasets_2025]" displayFolder="" count="0" memberValueDatatype="130" unbalanced="0"/>
    <cacheHierarchy uniqueName="[cars_metrics_summary].[metric]" caption="metric" attribute="1" defaultMemberUniqueName="[cars_metrics_summary].[metric].[All]" allUniqueName="[cars_metrics_summary].[metric].[All]" dimensionUniqueName="[cars_metrics_summary]" displayFolder="" count="0" memberValueDatatype="130" unbalanced="0"/>
    <cacheHierarchy uniqueName="[cars_metrics_summary].[min_val]" caption="min_val" attribute="1" defaultMemberUniqueName="[cars_metrics_summary].[min_val].[All]" allUniqueName="[cars_metrics_summary].[min_val].[All]" dimensionUniqueName="[cars_metrics_summary]" displayFolder="" count="0" memberValueDatatype="5" unbalanced="0"/>
    <cacheHierarchy uniqueName="[cars_metrics_summary].[avg_val]" caption="avg_val" attribute="1" defaultMemberUniqueName="[cars_metrics_summary].[avg_val].[All]" allUniqueName="[cars_metrics_summary].[avg_val].[All]" dimensionUniqueName="[cars_metrics_summary]" displayFolder="" count="0" memberValueDatatype="5" unbalanced="0"/>
    <cacheHierarchy uniqueName="[cars_metrics_summary].[max_val]" caption="max_val" attribute="1" defaultMemberUniqueName="[cars_metrics_summary].[max_val].[All]" allUniqueName="[cars_metrics_summary].[max_val].[All]" dimensionUniqueName="[cars_metrics_summary]" displayFolder="" count="0" memberValueDatatype="5" unbalanced="0"/>
    <cacheHierarchy uniqueName="[fuel_usage_by_company].[company_names]" caption="company_names" attribute="1" defaultMemberUniqueName="[fuel_usage_by_company].[company_names].[All]" allUniqueName="[fuel_usage_by_company].[company_names].[All]" dimensionUniqueName="[fuel_usage_by_company]" displayFolder="" count="0" memberValueDatatype="130" unbalanced="0"/>
    <cacheHierarchy uniqueName="[fuel_usage_by_company].[fuel_types]" caption="fuel_types" attribute="1" defaultMemberUniqueName="[fuel_usage_by_company].[fuel_types].[All]" allUniqueName="[fuel_usage_by_company].[fuel_types].[All]" dimensionUniqueName="[fuel_usage_by_company]" displayFolder="" count="0" memberValueDatatype="130" unbalanced="0"/>
    <cacheHierarchy uniqueName="[fuel_usage_by_company].[fuel_usage_count]" caption="fuel_usage_count" attribute="1" defaultMemberUniqueName="[fuel_usage_by_company].[fuel_usage_count].[All]" allUniqueName="[fuel_usage_by_company].[fuel_usage_count].[All]" dimensionUniqueName="[fuel_usage_by_company]" displayFolder="" count="0" memberValueDatatype="20" unbalanced="0"/>
    <cacheHierarchy uniqueName="[fuel_usage_by_company].[fuel_usage_percentage]" caption="fuel_usage_percentage" attribute="1" defaultMemberUniqueName="[fuel_usage_by_company].[fuel_usage_percentage].[All]" allUniqueName="[fuel_usage_by_company].[fuel_usage_percentage].[All]" dimensionUniqueName="[fuel_usage_by_company]" displayFolder="" count="0" memberValueDatatype="5" unbalanced="0"/>
    <cacheHierarchy uniqueName="[Measures].[Sum of total_speed]" caption="Sum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Average of total_speed]" caption="Average of total_speed" measure="1" displayFolder="" measureGroup="cars_datasets_2025" count="0">
      <extLst>
        <ext xmlns:x15="http://schemas.microsoft.com/office/spreadsheetml/2010/11/main" uri="{B97F6D7D-B522-45F9-BDA1-12C45D357490}">
          <x15:cacheHierarchy aggregatedColumn="6"/>
        </ext>
      </extLst>
    </cacheHierarchy>
    <cacheHierarchy uniqueName="[Measures].[Sum of cars_prices]" caption="Sum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Average of cars_prices]" caption="Average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Sum of performance_0_100_kmh_sec]" caption="Sum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Average of performance_0_100_kmh_sec]" caption="Average of performance_0_100_kmh_sec" measure="1" displayFolder="" measureGroup="cars_datasets_2025" count="0">
      <extLst>
        <ext xmlns:x15="http://schemas.microsoft.com/office/spreadsheetml/2010/11/main" uri="{B97F6D7D-B522-45F9-BDA1-12C45D357490}">
          <x15:cacheHierarchy aggregatedColumn="7"/>
        </ext>
      </extLst>
    </cacheHierarchy>
    <cacheHierarchy uniqueName="[Measures].[Max of cars_prices]" caption="Max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Min of cars_prices]" caption="Min of cars_prices" measure="1" displayFolder="" measureGroup="cars_datasets_2025" count="0">
      <extLst>
        <ext xmlns:x15="http://schemas.microsoft.com/office/spreadsheetml/2010/11/main" uri="{B97F6D7D-B522-45F9-BDA1-12C45D357490}">
          <x15:cacheHierarchy aggregatedColumn="8"/>
        </ext>
      </extLst>
    </cacheHierarchy>
    <cacheHierarchy uniqueName="[Measures].[Count of PriceSegment]" caption="Count of PriceSegment" measure="1" displayFolder="" measureGroup="cars_datasets_2025" count="0">
      <extLst>
        <ext xmlns:x15="http://schemas.microsoft.com/office/spreadsheetml/2010/11/main" uri="{B97F6D7D-B522-45F9-BDA1-12C45D357490}">
          <x15:cacheHierarchy aggregatedColumn="12"/>
        </ext>
      </extLst>
    </cacheHierarchy>
    <cacheHierarchy uniqueName="[Measures].[Count of cars_names]" caption="Count of cars_names" measure="1" displayFolder="" measureGroup="cars_datasets_2025" count="0">
      <extLst>
        <ext xmlns:x15="http://schemas.microsoft.com/office/spreadsheetml/2010/11/main" uri="{B97F6D7D-B522-45F9-BDA1-12C45D357490}">
          <x15:cacheHierarchy aggregatedColumn="2"/>
        </ext>
      </extLst>
    </cacheHierarchy>
    <cacheHierarchy uniqueName="[Measures].[Sum of id]" caption="Sum of id" measure="1" displayFolder="" measureGroup="cars_datasets_2025" count="0">
      <extLst>
        <ext xmlns:x15="http://schemas.microsoft.com/office/spreadsheetml/2010/11/main" uri="{B97F6D7D-B522-45F9-BDA1-12C45D357490}">
          <x15:cacheHierarchy aggregatedColumn="0"/>
        </ext>
      </extLst>
    </cacheHierarchy>
    <cacheHierarchy uniqueName="[Measures].[Count of id]" caption="Count of id" measure="1" displayFolder="" measureGroup="cars_datasets_2025" count="0">
      <extLst>
        <ext xmlns:x15="http://schemas.microsoft.com/office/spreadsheetml/2010/11/main" uri="{B97F6D7D-B522-45F9-BDA1-12C45D357490}">
          <x15:cacheHierarchy aggregatedColumn="0"/>
        </ext>
      </extLst>
    </cacheHierarchy>
    <cacheHierarchy uniqueName="[Measures].[Sum of horse_power]" caption="Sum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Average of horse_power]" caption="Average of horse_power" measure="1" displayFolder="" measureGroup="cars_datasets_2025" count="0">
      <extLst>
        <ext xmlns:x15="http://schemas.microsoft.com/office/spreadsheetml/2010/11/main" uri="{B97F6D7D-B522-45F9-BDA1-12C45D357490}">
          <x15:cacheHierarchy aggregatedColumn="5"/>
        </ext>
      </extLst>
    </cacheHierarchy>
    <cacheHierarchy uniqueName="[Measures].[Count of fuel_types]" caption="Count of fuel_types" measure="1" displayFolder="" measureGroup="cars_datasets_2025" count="0">
      <extLst>
        <ext xmlns:x15="http://schemas.microsoft.com/office/spreadsheetml/2010/11/main" uri="{B97F6D7D-B522-45F9-BDA1-12C45D357490}">
          <x15:cacheHierarchy aggregatedColumn="9"/>
        </ext>
      </extLst>
    </cacheHierarchy>
    <cacheHierarchy uniqueName="[Measures].[Count of company_names]" caption="Count of company_names" measure="1" displayFolder="" measureGroup="cars_datasets_2025" count="0">
      <extLst>
        <ext xmlns:x15="http://schemas.microsoft.com/office/spreadsheetml/2010/11/main" uri="{B97F6D7D-B522-45F9-BDA1-12C45D357490}">
          <x15:cacheHierarchy aggregatedColumn="1"/>
        </ext>
      </extLst>
    </cacheHierarchy>
    <cacheHierarchy uniqueName="[Measures].[max_price]" caption="max_price" measure="1" displayFolder="" measureGroup="cars_datasets_2025" count="0"/>
    <cacheHierarchy uniqueName="[Measures].[min_price]" caption="min_price" measure="1" displayFolder="" measureGroup="cars_datasets_2025" count="0"/>
    <cacheHierarchy uniqueName="[Measures].[cars count]" caption="cars count" measure="1" displayFolder="" measureGroup="cars_datasets_2025" count="0"/>
    <cacheHierarchy uniqueName="[Measures].[total prices]" caption="total prices" measure="1" displayFolder="" measureGroup="cars_datasets_2025" count="0"/>
    <cacheHierarchy uniqueName="[Measures].[avg performance]" caption="avg performance" measure="1" displayFolder="" measureGroup="cars_datasets_2025" count="0"/>
    <cacheHierarchy uniqueName="[Measures].[avg hourse power]" caption="avg hourse power" measure="1" displayFolder="" measureGroup="cars_datasets_2025" count="0"/>
    <cacheHierarchy uniqueName="[Measures].[% Petrol]" caption="% Petrol" measure="1" displayFolder="" measureGroup="cars_datasets_2025" count="0"/>
    <cacheHierarchy uniqueName="[Measures].[__XL_Count cars_metrics_summary]" caption="__XL_Count cars_metrics_summary" measure="1" displayFolder="" measureGroup="cars_metrics_summary" count="0" hidden="1"/>
    <cacheHierarchy uniqueName="[Measures].[__XL_Count fuel_usage_by_company]" caption="__XL_Count fuel_usage_by_company" measure="1" displayFolder="" measureGroup="fuel_usage_by_company" count="0" hidden="1"/>
    <cacheHierarchy uniqueName="[Measures].[__XL_Count cars_datasets_2025]" caption="__XL_Count cars_datasets_2025" measure="1" displayFolder="" measureGroup="cars_datasets_2025"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2971491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0BDC858-B6D6-4BB9-AC96-995941EF57EF}" name="top10cars" cacheId="7" applyNumberFormats="0" applyBorderFormats="0" applyFontFormats="0" applyPatternFormats="0" applyAlignmentFormats="0" applyWidthHeightFormats="1" dataCaption="Values" tag="3db5ab13-e032-40e1-9c93-9bcfb57fa8f7" updatedVersion="8" minRefreshableVersion="3" useAutoFormatting="1" subtotalHiddenItems="1" rowGrandTotals="0" colGrandTotals="0" itemPrintTitles="1" createdVersion="5" indent="0" outline="1" outlineData="1" multipleFieldFilters="0" chartFormat="73" rowHeaderCaption="car name">
  <location ref="A1:B21" firstHeaderRow="1" firstDataRow="1" firstDataCol="1"/>
  <pivotFields count="3">
    <pivotField axis="axisRow" allDrilled="1"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howAll="0" dataSourceSort="1" defaultSubtotal="0" defaultAttributeDrillState="1">
      <items count="3">
        <item x="0"/>
        <item x="1"/>
        <item x="2"/>
      </items>
    </pivotField>
    <pivotField dataField="1" showAll="0" defaultSubtotal="0"/>
  </pivotFields>
  <rowFields count="2">
    <field x="0"/>
    <field x="1"/>
  </rowFields>
  <rowItems count="20">
    <i>
      <x v="4"/>
    </i>
    <i r="1">
      <x v="1"/>
    </i>
    <i>
      <x v="3"/>
    </i>
    <i r="1">
      <x v="1"/>
    </i>
    <i>
      <x v="5"/>
    </i>
    <i r="1">
      <x v="1"/>
    </i>
    <i>
      <x v="1"/>
    </i>
    <i r="1">
      <x v="1"/>
    </i>
    <i>
      <x v="9"/>
    </i>
    <i r="1">
      <x v="2"/>
    </i>
    <i>
      <x v="8"/>
    </i>
    <i r="1">
      <x v="1"/>
    </i>
    <i>
      <x v="6"/>
    </i>
    <i r="1">
      <x v="1"/>
    </i>
    <i>
      <x/>
    </i>
    <i r="1">
      <x/>
    </i>
    <i>
      <x v="2"/>
    </i>
    <i r="1">
      <x v="1"/>
    </i>
    <i>
      <x v="7"/>
    </i>
    <i r="1">
      <x v="1"/>
    </i>
  </rowItems>
  <colItems count="1">
    <i/>
  </colItems>
  <dataFields count="1">
    <dataField name="price" fld="2" subtotal="count" baseField="0" baseItem="7"/>
  </dataFields>
  <formats count="19">
    <format>
      <pivotArea collapsedLevelsAreSubtotals="1" fieldPosition="0">
        <references count="2">
          <reference field="0" count="1" selected="0">
            <x v="7"/>
          </reference>
          <reference field="1" count="1">
            <x v="1"/>
          </reference>
        </references>
      </pivotArea>
    </format>
    <format>
      <pivotArea collapsedLevelsAreSubtotals="1" fieldPosition="0">
        <references count="1">
          <reference field="0" count="1">
            <x v="2"/>
          </reference>
        </references>
      </pivotArea>
    </format>
    <format>
      <pivotArea collapsedLevelsAreSubtotals="1" fieldPosition="0">
        <references count="2">
          <reference field="0" count="1" selected="0">
            <x v="2"/>
          </reference>
          <reference field="1" count="1">
            <x v="1"/>
          </reference>
        </references>
      </pivotArea>
    </format>
    <format>
      <pivotArea collapsedLevelsAreSubtotals="1" fieldPosition="0">
        <references count="1">
          <reference field="0" count="1">
            <x v="0"/>
          </reference>
        </references>
      </pivotArea>
    </format>
    <format>
      <pivotArea collapsedLevelsAreSubtotals="1" fieldPosition="0">
        <references count="2">
          <reference field="0" count="1" selected="0">
            <x v="0"/>
          </reference>
          <reference field="1" count="1">
            <x v="0"/>
          </reference>
        </references>
      </pivotArea>
    </format>
    <format>
      <pivotArea collapsedLevelsAreSubtotals="1" fieldPosition="0">
        <references count="1">
          <reference field="0" count="1">
            <x v="6"/>
          </reference>
        </references>
      </pivotArea>
    </format>
    <format>
      <pivotArea collapsedLevelsAreSubtotals="1" fieldPosition="0">
        <references count="2">
          <reference field="0" count="1" selected="0">
            <x v="6"/>
          </reference>
          <reference field="1" count="1">
            <x v="1"/>
          </reference>
        </references>
      </pivotArea>
    </format>
    <format>
      <pivotArea collapsedLevelsAreSubtotals="1" fieldPosition="0">
        <references count="1">
          <reference field="0" count="1">
            <x v="8"/>
          </reference>
        </references>
      </pivotArea>
    </format>
    <format>
      <pivotArea collapsedLevelsAreSubtotals="1" fieldPosition="0">
        <references count="2">
          <reference field="0" count="1" selected="0">
            <x v="8"/>
          </reference>
          <reference field="1" count="1">
            <x v="1"/>
          </reference>
        </references>
      </pivotArea>
    </format>
    <format>
      <pivotArea collapsedLevelsAreSubtotals="1" fieldPosition="0">
        <references count="1">
          <reference field="0" count="1">
            <x v="1"/>
          </reference>
        </references>
      </pivotArea>
    </format>
    <format>
      <pivotArea collapsedLevelsAreSubtotals="1" fieldPosition="0">
        <references count="2">
          <reference field="0" count="1" selected="0">
            <x v="1"/>
          </reference>
          <reference field="1" count="1">
            <x v="1"/>
          </reference>
        </references>
      </pivotArea>
    </format>
    <format>
      <pivotArea collapsedLevelsAreSubtotals="1" fieldPosition="0">
        <references count="1">
          <reference field="0" count="1">
            <x v="9"/>
          </reference>
        </references>
      </pivotArea>
    </format>
    <format>
      <pivotArea collapsedLevelsAreSubtotals="1" fieldPosition="0">
        <references count="2">
          <reference field="0" count="1" selected="0">
            <x v="9"/>
          </reference>
          <reference field="1" count="1">
            <x v="2"/>
          </reference>
        </references>
      </pivotArea>
    </format>
    <format>
      <pivotArea collapsedLevelsAreSubtotals="1" fieldPosition="0">
        <references count="1">
          <reference field="0" count="1">
            <x v="5"/>
          </reference>
        </references>
      </pivotArea>
    </format>
    <format>
      <pivotArea collapsedLevelsAreSubtotals="1" fieldPosition="0">
        <references count="2">
          <reference field="0" count="1" selected="0">
            <x v="5"/>
          </reference>
          <reference field="1" count="1">
            <x v="1"/>
          </reference>
        </references>
      </pivotArea>
    </format>
    <format>
      <pivotArea collapsedLevelsAreSubtotals="1" fieldPosition="0">
        <references count="1">
          <reference field="0" count="1">
            <x v="3"/>
          </reference>
        </references>
      </pivotArea>
    </format>
    <format>
      <pivotArea collapsedLevelsAreSubtotals="1" fieldPosition="0">
        <references count="2">
          <reference field="0" count="1" selected="0">
            <x v="3"/>
          </reference>
          <reference field="1" count="1">
            <x v="1"/>
          </reference>
        </references>
      </pivotArea>
    </format>
    <format>
      <pivotArea collapsedLevelsAreSubtotals="1" fieldPosition="0">
        <references count="1">
          <reference field="0" count="1">
            <x v="4"/>
          </reference>
        </references>
      </pivotArea>
    </format>
    <format>
      <pivotArea collapsedLevelsAreSubtotals="1" fieldPosition="0">
        <references count="2">
          <reference field="0" count="1" selected="0">
            <x v="4"/>
          </reference>
          <reference field="1" count="1">
            <x v="1"/>
          </reference>
        </references>
      </pivotArea>
    </format>
  </formats>
  <chartFormats count="4">
    <chartFormat chart="3"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32" format="9" series="1">
      <pivotArea type="data" outline="0" fieldPosition="0">
        <references count="1">
          <reference field="4294967294" count="1" selected="0">
            <x v="0"/>
          </reference>
        </references>
      </pivotArea>
    </chartFormat>
    <chartFormat chart="70" format="10"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caption="price"/>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40">
      <autoFilter ref="A1">
        <filterColumn colId="0">
          <top10 val="10" filterVal="10"/>
        </filterColumn>
      </autoFilter>
    </filter>
  </filters>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EBA0E5-CB1A-4B03-B5BA-380506659A5D}" name="averageCarPrices" cacheId="1" applyNumberFormats="0" applyBorderFormats="0" applyFontFormats="0" applyPatternFormats="0" applyAlignmentFormats="0" applyWidthHeightFormats="1" dataCaption="Values" tag="066af85b-ee83-4372-a5bd-62917ff52a2e" updatedVersion="8" minRefreshableVersion="3" useAutoFormatting="1" subtotalHiddenItems="1" rowGrandTotals="0" colGrandTotals="0" itemPrintTitles="1" createdVersion="5" indent="0" outline="1" outlineData="1" multipleFieldFilters="0" chartFormat="30" rowHeaderCaption="company">
  <location ref="G1:H32" firstHeaderRow="1" firstDataRow="1" firstDataCol="1"/>
  <pivotFields count="2">
    <pivotField axis="axisRow" allDrilled="1" subtotalTop="0" showAll="0" sortType="descending"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31">
    <i>
      <x v="5"/>
    </i>
    <i>
      <x v="1"/>
    </i>
    <i>
      <x v="16"/>
    </i>
    <i>
      <x v="8"/>
    </i>
    <i>
      <x v="25"/>
    </i>
    <i>
      <x v="3"/>
    </i>
    <i>
      <x v="24"/>
    </i>
    <i>
      <x v="19"/>
    </i>
    <i>
      <x v="30"/>
    </i>
    <i>
      <x v="27"/>
    </i>
    <i>
      <x v="20"/>
    </i>
    <i>
      <x v="2"/>
    </i>
    <i>
      <x v="13"/>
    </i>
    <i>
      <x v="4"/>
    </i>
    <i>
      <x v="10"/>
    </i>
    <i>
      <x/>
    </i>
    <i>
      <x v="6"/>
    </i>
    <i>
      <x v="22"/>
    </i>
    <i>
      <x v="14"/>
    </i>
    <i>
      <x v="9"/>
    </i>
    <i>
      <x v="7"/>
    </i>
    <i>
      <x v="28"/>
    </i>
    <i>
      <x v="15"/>
    </i>
    <i>
      <x v="29"/>
    </i>
    <i>
      <x v="23"/>
    </i>
    <i>
      <x v="12"/>
    </i>
    <i>
      <x v="21"/>
    </i>
    <i>
      <x v="11"/>
    </i>
    <i>
      <x v="17"/>
    </i>
    <i>
      <x v="26"/>
    </i>
    <i>
      <x v="18"/>
    </i>
  </rowItems>
  <colItems count="1">
    <i/>
  </colItems>
  <dataFields count="1">
    <dataField name="Average prices" fld="1" subtotal="average" baseField="0" baseItem="5"/>
  </dataFields>
  <formats count="1">
    <format>
      <pivotArea outline="0" collapsedLevelsAreSubtotals="1" fieldPosition="0"/>
    </format>
  </formats>
  <chartFormats count="3">
    <chartFormat chart="10" format="6" series="1">
      <pivotArea type="data" outline="0" fieldPosition="0">
        <references count="1">
          <reference field="4294967294" count="1" selected="0">
            <x v="0"/>
          </reference>
        </references>
      </pivotArea>
    </chartFormat>
    <chartFormat chart="17" format="7" series="1">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pri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9D7739-46AB-4892-84D4-38B1F59E2DFD}" name="% Petrol" cacheId="10" applyNumberFormats="0" applyBorderFormats="0" applyFontFormats="0" applyPatternFormats="0" applyAlignmentFormats="0" applyWidthHeightFormats="1" dataCaption="Values" tag="4c1c3413-ba5f-4fd0-8edb-2015be472e28" updatedVersion="8" minRefreshableVersion="3" useAutoFormatting="1" subtotalHiddenItems="1" itemPrintTitles="1" createdVersion="5" indent="0" outline="1" outlineData="1" multipleFieldFilters="0">
  <location ref="BF1:B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445328-ED9E-4A7F-B229-1DC047E736A8}" name="seatCatCompany" cacheId="6" applyNumberFormats="0" applyBorderFormats="0" applyFontFormats="0" applyPatternFormats="0" applyAlignmentFormats="0" applyWidthHeightFormats="1" dataCaption="Values" tag="822c6f93-b3a6-411e-ac37-c236a4290de5" updatedVersion="8" minRefreshableVersion="3" useAutoFormatting="1" subtotalHiddenItems="1" rowGrandTotals="0" colGrandTotals="0" itemPrintTitles="1" createdVersion="5" indent="0" outline="1" outlineData="1" multipleFieldFilters="0" chartFormat="19" rowHeaderCaption="company" colHeaderCaption="seat category">
  <location ref="AL1:AP33" firstHeaderRow="1" firstDataRow="2"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xis="axisCol" allDrilled="1" subtotalTop="0" showAll="0" defaultSubtotal="0" defaultAttributeDrillState="1">
      <items count="4">
        <item x="0"/>
        <item x="2"/>
        <item x="1"/>
        <item x="3"/>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4">
    <i>
      <x/>
    </i>
    <i>
      <x v="1"/>
    </i>
    <i>
      <x v="2"/>
    </i>
    <i>
      <x v="3"/>
    </i>
  </colItems>
  <dataFields count="1">
    <dataField name="car count" fld="1" subtotal="count" baseField="0" baseItem="19"/>
  </dataFields>
  <chartFormats count="14">
    <chartFormat chart="9" format="8" series="1">
      <pivotArea type="data" outline="0" fieldPosition="0">
        <references count="2">
          <reference field="4294967294" count="1" selected="0">
            <x v="0"/>
          </reference>
          <reference field="2" count="1" selected="0">
            <x v="0"/>
          </reference>
        </references>
      </pivotArea>
    </chartFormat>
    <chartFormat chart="9" format="9" series="1">
      <pivotArea type="data" outline="0" fieldPosition="0">
        <references count="2">
          <reference field="4294967294" count="1" selected="0">
            <x v="0"/>
          </reference>
          <reference field="2" count="1" selected="0">
            <x v="1"/>
          </reference>
        </references>
      </pivotArea>
    </chartFormat>
    <chartFormat chart="9" format="10" series="1">
      <pivotArea type="data" outline="0" fieldPosition="0">
        <references count="2">
          <reference field="4294967294" count="1" selected="0">
            <x v="0"/>
          </reference>
          <reference field="2" count="1" selected="0">
            <x v="2"/>
          </reference>
        </references>
      </pivotArea>
    </chartFormat>
    <chartFormat chart="9" format="11" series="1">
      <pivotArea type="data" outline="0" fieldPosition="0">
        <references count="2">
          <reference field="4294967294" count="1" selected="0">
            <x v="0"/>
          </reference>
          <reference field="2" count="1" selected="0">
            <x v="3"/>
          </reference>
        </references>
      </pivotArea>
    </chartFormat>
    <chartFormat chart="9" format="12" series="1">
      <pivotArea type="data" outline="0" fieldPosition="0">
        <references count="1">
          <reference field="4294967294" count="1" selected="0">
            <x v="0"/>
          </reference>
        </references>
      </pivotArea>
    </chartFormat>
    <chartFormat chart="15" format="13" series="1">
      <pivotArea type="data" outline="0" fieldPosition="0">
        <references count="2">
          <reference field="4294967294" count="1" selected="0">
            <x v="0"/>
          </reference>
          <reference field="2" count="1" selected="0">
            <x v="0"/>
          </reference>
        </references>
      </pivotArea>
    </chartFormat>
    <chartFormat chart="15" format="14" series="1">
      <pivotArea type="data" outline="0" fieldPosition="0">
        <references count="2">
          <reference field="4294967294" count="1" selected="0">
            <x v="0"/>
          </reference>
          <reference field="2" count="1" selected="0">
            <x v="1"/>
          </reference>
        </references>
      </pivotArea>
    </chartFormat>
    <chartFormat chart="15" format="15" series="1">
      <pivotArea type="data" outline="0" fieldPosition="0">
        <references count="2">
          <reference field="4294967294" count="1" selected="0">
            <x v="0"/>
          </reference>
          <reference field="2" count="1" selected="0">
            <x v="2"/>
          </reference>
        </references>
      </pivotArea>
    </chartFormat>
    <chartFormat chart="15" format="16" series="1">
      <pivotArea type="data" outline="0" fieldPosition="0">
        <references count="2">
          <reference field="4294967294" count="1" selected="0">
            <x v="0"/>
          </reference>
          <reference field="2" count="1" selected="0">
            <x v="3"/>
          </reference>
        </references>
      </pivotArea>
    </chartFormat>
    <chartFormat chart="16" format="17" series="1">
      <pivotArea type="data" outline="0" fieldPosition="0">
        <references count="2">
          <reference field="4294967294" count="1" selected="0">
            <x v="0"/>
          </reference>
          <reference field="2" count="1" selected="0">
            <x v="0"/>
          </reference>
        </references>
      </pivotArea>
    </chartFormat>
    <chartFormat chart="16" format="18" series="1">
      <pivotArea type="data" outline="0" fieldPosition="0">
        <references count="2">
          <reference field="4294967294" count="1" selected="0">
            <x v="0"/>
          </reference>
          <reference field="2" count="1" selected="0">
            <x v="1"/>
          </reference>
        </references>
      </pivotArea>
    </chartFormat>
    <chartFormat chart="16" format="19" series="1">
      <pivotArea type="data" outline="0" fieldPosition="0">
        <references count="2">
          <reference field="4294967294" count="1" selected="0">
            <x v="0"/>
          </reference>
          <reference field="2" count="1" selected="0">
            <x v="2"/>
          </reference>
        </references>
      </pivotArea>
    </chartFormat>
    <chartFormat chart="16" format="20" series="1">
      <pivotArea type="data" outline="0" fieldPosition="0">
        <references count="2">
          <reference field="4294967294" count="1" selected="0">
            <x v="0"/>
          </reference>
          <reference field="2" count="1" selected="0">
            <x v="3"/>
          </reference>
        </references>
      </pivotArea>
    </chartFormat>
    <chartFormat chart="16" format="21"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ar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06B4FB0-2C05-463E-B459-554CDFC62B5A}" name="total prices" cacheId="14" applyNumberFormats="0" applyBorderFormats="0" applyFontFormats="0" applyPatternFormats="0" applyAlignmentFormats="0" applyWidthHeightFormats="1" dataCaption="Values" tag="a1aa5345-0b7f-4a2d-9e92-c1396d9d3b34" updatedVersion="8" minRefreshableVersion="3" useAutoFormatting="1" subtotalHiddenItems="1" itemPrintTitles="1" createdVersion="5" indent="0" outline="1" outlineData="1" multipleFieldFilters="0">
  <location ref="BC1:B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47602B-DF5D-4D52-8F93-898FB8C764E4}" name="top10speed " cacheId="9" applyNumberFormats="0" applyBorderFormats="0" applyFontFormats="0" applyPatternFormats="0" applyAlignmentFormats="0" applyWidthHeightFormats="1" dataCaption="Values" tag="3b6412a9-12ce-48ae-a9c4-c8c7a14d6144" updatedVersion="8" minRefreshableVersion="3" useAutoFormatting="1" subtotalHiddenItems="1" rowGrandTotals="0" colGrandTotals="0" itemPrintTitles="1" createdVersion="5" indent="0" compact="0" compactData="0" multipleFieldFilters="0" rowHeaderCaption="car name">
  <location ref="AA1:AC11" firstHeaderRow="1" firstDataRow="1" firstDataCol="2"/>
  <pivotFields count="3">
    <pivotField axis="axisRow" compact="0" allDrilled="1" outline="0" showAll="0" dataSourceSort="1" defaultSubtotal="0" defaultAttributeDrillState="1">
      <items count="5">
        <item x="0"/>
        <item x="1"/>
        <item x="2"/>
        <item x="3"/>
        <item x="4"/>
      </items>
    </pivotField>
    <pivotField axis="axisRow" compact="0" allDrilled="1" outline="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compact="0" outline="0" showAll="0" defaultSubtotal="0"/>
  </pivotFields>
  <rowFields count="2">
    <field x="1"/>
    <field x="0"/>
  </rowFields>
  <rowItems count="10">
    <i>
      <x v="1"/>
      <x v="1"/>
    </i>
    <i>
      <x v="7"/>
      <x v="1"/>
    </i>
    <i>
      <x v="5"/>
      <x v="1"/>
    </i>
    <i>
      <x v="8"/>
      <x v="1"/>
    </i>
    <i>
      <x v="4"/>
      <x v="4"/>
    </i>
    <i>
      <x v="6"/>
      <x v="1"/>
    </i>
    <i>
      <x/>
      <x/>
    </i>
    <i>
      <x v="3"/>
      <x v="3"/>
    </i>
    <i>
      <x v="2"/>
      <x v="2"/>
    </i>
    <i>
      <x v="9"/>
      <x v="3"/>
    </i>
  </rowItems>
  <colItems count="1">
    <i/>
  </colItems>
  <dataFields count="1">
    <dataField name="AVG speed" fld="2" subtotal="average" baseField="1" baseItem="0"/>
  </dataFields>
  <formats count="19">
    <format>
      <pivotArea collapsedLevelsAreSubtotals="1" fieldPosition="0">
        <references count="2">
          <reference field="0" count="1">
            <x v="0"/>
          </reference>
          <reference field="1" count="1" selected="0">
            <x v="0"/>
          </reference>
        </references>
      </pivotArea>
    </format>
    <format>
      <pivotArea collapsedLevelsAreSubtotals="1" fieldPosition="0">
        <references count="1">
          <reference field="1" count="1">
            <x v="1"/>
          </reference>
        </references>
      </pivotArea>
    </format>
    <format>
      <pivotArea collapsedLevelsAreSubtotals="1" fieldPosition="0">
        <references count="2">
          <reference field="0" count="1">
            <x v="1"/>
          </reference>
          <reference field="1" count="1" selected="0">
            <x v="1"/>
          </reference>
        </references>
      </pivotArea>
    </format>
    <format>
      <pivotArea collapsedLevelsAreSubtotals="1" fieldPosition="0">
        <references count="1">
          <reference field="1" count="1">
            <x v="2"/>
          </reference>
        </references>
      </pivotArea>
    </format>
    <format>
      <pivotArea collapsedLevelsAreSubtotals="1" fieldPosition="0">
        <references count="2">
          <reference field="0" count="1">
            <x v="2"/>
          </reference>
          <reference field="1" count="1" selected="0">
            <x v="2"/>
          </reference>
        </references>
      </pivotArea>
    </format>
    <format>
      <pivotArea collapsedLevelsAreSubtotals="1" fieldPosition="0">
        <references count="1">
          <reference field="1" count="1">
            <x v="3"/>
          </reference>
        </references>
      </pivotArea>
    </format>
    <format>
      <pivotArea collapsedLevelsAreSubtotals="1" fieldPosition="0">
        <references count="2">
          <reference field="0" count="1">
            <x v="3"/>
          </reference>
          <reference field="1" count="1" selected="0">
            <x v="3"/>
          </reference>
        </references>
      </pivotArea>
    </format>
    <format>
      <pivotArea collapsedLevelsAreSubtotals="1" fieldPosition="0">
        <references count="1">
          <reference field="1" count="1">
            <x v="4"/>
          </reference>
        </references>
      </pivotArea>
    </format>
    <format>
      <pivotArea collapsedLevelsAreSubtotals="1" fieldPosition="0">
        <references count="2">
          <reference field="0" count="1">
            <x v="4"/>
          </reference>
          <reference field="1" count="1" selected="0">
            <x v="4"/>
          </reference>
        </references>
      </pivotArea>
    </format>
    <format>
      <pivotArea collapsedLevelsAreSubtotals="1" fieldPosition="0">
        <references count="1">
          <reference field="1" count="1">
            <x v="5"/>
          </reference>
        </references>
      </pivotArea>
    </format>
    <format>
      <pivotArea collapsedLevelsAreSubtotals="1" fieldPosition="0">
        <references count="2">
          <reference field="0" count="1">
            <x v="1"/>
          </reference>
          <reference field="1" count="1" selected="0">
            <x v="5"/>
          </reference>
        </references>
      </pivotArea>
    </format>
    <format>
      <pivotArea collapsedLevelsAreSubtotals="1" fieldPosition="0">
        <references count="1">
          <reference field="1" count="1">
            <x v="6"/>
          </reference>
        </references>
      </pivotArea>
    </format>
    <format>
      <pivotArea collapsedLevelsAreSubtotals="1" fieldPosition="0">
        <references count="2">
          <reference field="0" count="1">
            <x v="1"/>
          </reference>
          <reference field="1" count="1" selected="0">
            <x v="6"/>
          </reference>
        </references>
      </pivotArea>
    </format>
    <format>
      <pivotArea collapsedLevelsAreSubtotals="1" fieldPosition="0">
        <references count="1">
          <reference field="1" count="1">
            <x v="7"/>
          </reference>
        </references>
      </pivotArea>
    </format>
    <format>
      <pivotArea collapsedLevelsAreSubtotals="1" fieldPosition="0">
        <references count="2">
          <reference field="0" count="1">
            <x v="1"/>
          </reference>
          <reference field="1" count="1" selected="0">
            <x v="7"/>
          </reference>
        </references>
      </pivotArea>
    </format>
    <format>
      <pivotArea collapsedLevelsAreSubtotals="1" fieldPosition="0">
        <references count="1">
          <reference field="1" count="1">
            <x v="8"/>
          </reference>
        </references>
      </pivotArea>
    </format>
    <format>
      <pivotArea collapsedLevelsAreSubtotals="1" fieldPosition="0">
        <references count="2">
          <reference field="0" count="1">
            <x v="1"/>
          </reference>
          <reference field="1" count="1" selected="0">
            <x v="8"/>
          </reference>
        </references>
      </pivotArea>
    </format>
    <format>
      <pivotArea collapsedLevelsAreSubtotals="1" fieldPosition="0">
        <references count="1">
          <reference field="1" count="1">
            <x v="9"/>
          </reference>
        </references>
      </pivotArea>
    </format>
    <format>
      <pivotArea collapsedLevelsAreSubtotals="1" fieldPosition="0">
        <references count="2">
          <reference field="0" count="1">
            <x v="3"/>
          </reference>
          <reference field="1" count="1" selected="0">
            <x v="9"/>
          </reference>
        </references>
      </pivotArea>
    </format>
  </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pee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7" iMeasureHier="24">
      <autoFilter ref="A1">
        <filterColumn colId="0">
          <top10 val="10" filterVal="10"/>
        </filterColumn>
      </autoFilter>
    </filter>
  </filters>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C71B52-0A43-47E1-A68A-5849D3DD39C7}" name="avg performance" cacheId="12" applyNumberFormats="0" applyBorderFormats="0" applyFontFormats="0" applyPatternFormats="0" applyAlignmentFormats="0" applyWidthHeightFormats="1" dataCaption="Values" tag="9e65086d-b164-409c-b6cb-0957f97f3a44" updatedVersion="8" minRefreshableVersion="3" useAutoFormatting="1" subtotalHiddenItems="1" itemPrintTitles="1" createdVersion="5" indent="0" outline="1" outlineData="1" multipleFieldFilters="0">
  <location ref="BD1:B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5EC6D0A-B893-4A50-A623-B024BBADAF5D}" name="categoryCompany" cacheId="0" applyNumberFormats="0" applyBorderFormats="0" applyFontFormats="0" applyPatternFormats="0" applyAlignmentFormats="0" applyWidthHeightFormats="1" dataCaption="Values" tag="d7ff123c-e757-470a-a469-3d5f30af6bb4" updatedVersion="8" minRefreshableVersion="3" useAutoFormatting="1" subtotalHiddenItems="1" rowGrandTotals="0" colGrandTotals="0" itemPrintTitles="1" createdVersion="5" indent="0" outline="1" outlineData="1" multipleFieldFilters="0" chartFormat="8" rowHeaderCaption="company" colHeaderCaption="car category">
  <location ref="AT1:AZ33" firstHeaderRow="1" firstDataRow="2"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dataField="1" subtotalTop="0" showAll="0" defaultSubtotal="0"/>
    <pivotField axis="axisCol" allDrilled="1" subtotalTop="0" showAll="0" defaultSubtotal="0" defaultAttributeDrillState="1">
      <items count="6">
        <item x="0"/>
        <item x="1"/>
        <item x="2"/>
        <item x="3"/>
        <item x="5"/>
        <item x="4"/>
      </items>
    </pivotField>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2"/>
  </colFields>
  <colItems count="6">
    <i>
      <x/>
    </i>
    <i>
      <x v="1"/>
    </i>
    <i>
      <x v="2"/>
    </i>
    <i>
      <x v="3"/>
    </i>
    <i>
      <x v="4"/>
    </i>
    <i>
      <x v="5"/>
    </i>
  </colItems>
  <dataFields count="1">
    <dataField name="car ccount" fld="1" subtotal="count" baseField="0" baseItem="19"/>
  </dataFields>
  <chartFormats count="21">
    <chartFormat chart="3" format="12" series="1">
      <pivotArea type="data" outline="0" fieldPosition="0">
        <references count="2">
          <reference field="4294967294" count="1" selected="0">
            <x v="0"/>
          </reference>
          <reference field="2" count="1" selected="0">
            <x v="0"/>
          </reference>
        </references>
      </pivotArea>
    </chartFormat>
    <chartFormat chart="3" format="13" series="1">
      <pivotArea type="data" outline="0" fieldPosition="0">
        <references count="2">
          <reference field="4294967294" count="1" selected="0">
            <x v="0"/>
          </reference>
          <reference field="2" count="1" selected="0">
            <x v="1"/>
          </reference>
        </references>
      </pivotArea>
    </chartFormat>
    <chartFormat chart="3" format="14" series="1">
      <pivotArea type="data" outline="0" fieldPosition="0">
        <references count="2">
          <reference field="4294967294" count="1" selected="0">
            <x v="0"/>
          </reference>
          <reference field="2" count="1" selected="0">
            <x v="2"/>
          </reference>
        </references>
      </pivotArea>
    </chartFormat>
    <chartFormat chart="3" format="15" series="1">
      <pivotArea type="data" outline="0" fieldPosition="0">
        <references count="2">
          <reference field="4294967294" count="1" selected="0">
            <x v="0"/>
          </reference>
          <reference field="2" count="1" selected="0">
            <x v="3"/>
          </reference>
        </references>
      </pivotArea>
    </chartFormat>
    <chartFormat chart="3" format="16" series="1">
      <pivotArea type="data" outline="0" fieldPosition="0">
        <references count="2">
          <reference field="4294967294" count="1" selected="0">
            <x v="0"/>
          </reference>
          <reference field="2" count="1" selected="0">
            <x v="4"/>
          </reference>
        </references>
      </pivotArea>
    </chartFormat>
    <chartFormat chart="3" format="17" series="1">
      <pivotArea type="data" outline="0" fieldPosition="0">
        <references count="2">
          <reference field="4294967294" count="1" selected="0">
            <x v="0"/>
          </reference>
          <reference field="2" count="1" selected="0">
            <x v="5"/>
          </reference>
        </references>
      </pivotArea>
    </chartFormat>
    <chartFormat chart="3" format="18" series="1">
      <pivotArea type="data" outline="0" fieldPosition="0">
        <references count="1">
          <reference field="4294967294" count="1" selected="0">
            <x v="0"/>
          </reference>
        </references>
      </pivotArea>
    </chartFormat>
    <chartFormat chart="6" format="19" series="1">
      <pivotArea type="data" outline="0" fieldPosition="0">
        <references count="2">
          <reference field="4294967294" count="1" selected="0">
            <x v="0"/>
          </reference>
          <reference field="2" count="1" selected="0">
            <x v="0"/>
          </reference>
        </references>
      </pivotArea>
    </chartFormat>
    <chartFormat chart="6" format="20" series="1">
      <pivotArea type="data" outline="0" fieldPosition="0">
        <references count="2">
          <reference field="4294967294" count="1" selected="0">
            <x v="0"/>
          </reference>
          <reference field="2" count="1" selected="0">
            <x v="1"/>
          </reference>
        </references>
      </pivotArea>
    </chartFormat>
    <chartFormat chart="6" format="21" series="1">
      <pivotArea type="data" outline="0" fieldPosition="0">
        <references count="2">
          <reference field="4294967294" count="1" selected="0">
            <x v="0"/>
          </reference>
          <reference field="2" count="1" selected="0">
            <x v="2"/>
          </reference>
        </references>
      </pivotArea>
    </chartFormat>
    <chartFormat chart="6" format="22" series="1">
      <pivotArea type="data" outline="0" fieldPosition="0">
        <references count="2">
          <reference field="4294967294" count="1" selected="0">
            <x v="0"/>
          </reference>
          <reference field="2" count="1" selected="0">
            <x v="3"/>
          </reference>
        </references>
      </pivotArea>
    </chartFormat>
    <chartFormat chart="6" format="23" series="1">
      <pivotArea type="data" outline="0" fieldPosition="0">
        <references count="2">
          <reference field="4294967294" count="1" selected="0">
            <x v="0"/>
          </reference>
          <reference field="2" count="1" selected="0">
            <x v="4"/>
          </reference>
        </references>
      </pivotArea>
    </chartFormat>
    <chartFormat chart="6" format="24" series="1">
      <pivotArea type="data" outline="0" fieldPosition="0">
        <references count="2">
          <reference field="4294967294" count="1" selected="0">
            <x v="0"/>
          </reference>
          <reference field="2" count="1" selected="0">
            <x v="5"/>
          </reference>
        </references>
      </pivotArea>
    </chartFormat>
    <chartFormat chart="7" format="25" series="1">
      <pivotArea type="data" outline="0" fieldPosition="0">
        <references count="2">
          <reference field="4294967294" count="1" selected="0">
            <x v="0"/>
          </reference>
          <reference field="2" count="1" selected="0">
            <x v="0"/>
          </reference>
        </references>
      </pivotArea>
    </chartFormat>
    <chartFormat chart="7" format="26" series="1">
      <pivotArea type="data" outline="0" fieldPosition="0">
        <references count="2">
          <reference field="4294967294" count="1" selected="0">
            <x v="0"/>
          </reference>
          <reference field="2" count="1" selected="0">
            <x v="1"/>
          </reference>
        </references>
      </pivotArea>
    </chartFormat>
    <chartFormat chart="7" format="27" series="1">
      <pivotArea type="data" outline="0" fieldPosition="0">
        <references count="2">
          <reference field="4294967294" count="1" selected="0">
            <x v="0"/>
          </reference>
          <reference field="2" count="1" selected="0">
            <x v="2"/>
          </reference>
        </references>
      </pivotArea>
    </chartFormat>
    <chartFormat chart="7" format="28" series="1">
      <pivotArea type="data" outline="0" fieldPosition="0">
        <references count="2">
          <reference field="4294967294" count="1" selected="0">
            <x v="0"/>
          </reference>
          <reference field="2" count="1" selected="0">
            <x v="3"/>
          </reference>
        </references>
      </pivotArea>
    </chartFormat>
    <chartFormat chart="7" format="29" series="1">
      <pivotArea type="data" outline="0" fieldPosition="0">
        <references count="2">
          <reference field="4294967294" count="1" selected="0">
            <x v="0"/>
          </reference>
          <reference field="2" count="1" selected="0">
            <x v="4"/>
          </reference>
        </references>
      </pivotArea>
    </chartFormat>
    <chartFormat chart="7" format="30" series="1">
      <pivotArea type="data" outline="0" fieldPosition="0">
        <references count="2">
          <reference field="4294967294" count="1" selected="0">
            <x v="0"/>
          </reference>
          <reference field="2" count="1" selected="0">
            <x v="5"/>
          </reference>
        </references>
      </pivotArea>
    </chartFormat>
    <chartFormat chart="7" format="31" series="1">
      <pivotArea type="data" outline="0" fieldPosition="0">
        <references count="1">
          <reference field="4294967294" count="1" selected="0">
            <x v="0"/>
          </reference>
        </references>
      </pivotArea>
    </chartFormat>
    <chartFormat chart="7" format="32">
      <pivotArea type="data" outline="0" fieldPosition="0">
        <references count="3">
          <reference field="4294967294" count="1" selected="0">
            <x v="0"/>
          </reference>
          <reference field="0" count="1" selected="0">
            <x v="14"/>
          </reference>
          <reference field="2" count="1" selected="0">
            <x v="5"/>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ar c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F101A5-7BFB-493D-A140-4F2665A1938A}" name="avg hourse power" cacheId="11" applyNumberFormats="0" applyBorderFormats="0" applyFontFormats="0" applyPatternFormats="0" applyAlignmentFormats="0" applyWidthHeightFormats="1" dataCaption="Values" tag="79b4129b-7338-4089-aabc-5caa8f1603b8" updatedVersion="8" minRefreshableVersion="3" useAutoFormatting="1" subtotalHiddenItems="1" itemPrintTitles="1" createdVersion="5" indent="0" outline="1" outlineData="1" multipleFieldFilters="0">
  <location ref="BE1:B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B2867B8-9CE4-48E4-A6F0-10ED89148F3B}" name="Top10FastestAcceleratingCars" cacheId="8" applyNumberFormats="0" applyBorderFormats="0" applyFontFormats="0" applyPatternFormats="0" applyAlignmentFormats="0" applyWidthHeightFormats="1" dataCaption="Values" tag="33cf0c1a-27c4-4596-88a5-5965a04b6907" updatedVersion="8" minRefreshableVersion="3" useAutoFormatting="1" subtotalHiddenItems="1" rowGrandTotals="0" colGrandTotals="0" itemPrintTitles="1" createdVersion="5" indent="0" compact="0" compactData="0" multipleFieldFilters="0" chartFormat="6" rowHeaderCaption="car name">
  <location ref="W3:Y13" firstHeaderRow="1" firstDataRow="1" firstDataCol="2" rowPageCount="1" colPageCount="1"/>
  <pivotFields count="4">
    <pivotField axis="axisRow" compact="0" allDrilled="1" outline="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compact="0" allDrilled="1" outline="0" showAll="0" defaultSubtotal="0" defaultAttributeDrillState="1">
      <items count="3">
        <item x="2"/>
        <item x="0"/>
        <item x="1"/>
      </items>
    </pivotField>
    <pivotField name="Acceleration (0–100 km/h, sec)" axis="axisPage" compact="0" allDrilled="1" outline="0" showAll="0" sortType="ascending" defaultSubtotal="0" defaultAttributeDrillState="1">
      <items count="24">
        <item s="1" x="15"/>
        <item s="1" x="14"/>
        <item s="1" x="11"/>
        <item s="1" x="13"/>
        <item s="1" x="12"/>
        <item s="1" x="3"/>
        <item s="1" x="5"/>
        <item s="1" x="7"/>
        <item s="1" x="1"/>
        <item s="1" x="4"/>
        <item s="1" x="0"/>
        <item s="1" x="6"/>
        <item s="1" x="2"/>
        <item s="1" x="10"/>
        <item s="1" x="9"/>
        <item s="1" x="8"/>
        <item s="1" x="21"/>
        <item s="1" x="16"/>
        <item s="1" x="18"/>
        <item s="1" x="22"/>
        <item s="1" x="23"/>
        <item s="1" x="19"/>
        <item s="1" x="20"/>
        <item s="1" x="17"/>
      </items>
    </pivotField>
    <pivotField dataField="1" compact="0" outline="0" subtotalTop="0" showAll="0" defaultSubtotal="0"/>
  </pivotFields>
  <rowFields count="2">
    <field x="0"/>
    <field x="1"/>
  </rowFields>
  <rowItems count="10">
    <i>
      <x v="8"/>
      <x v="2"/>
    </i>
    <i>
      <x v="7"/>
      <x v="2"/>
    </i>
    <i>
      <x/>
      <x v="1"/>
    </i>
    <i>
      <x v="2"/>
      <x v="1"/>
    </i>
    <i>
      <x v="4"/>
      <x v="1"/>
    </i>
    <i>
      <x v="3"/>
      <x v="1"/>
    </i>
    <i>
      <x v="5"/>
      <x v="1"/>
    </i>
    <i>
      <x v="1"/>
      <x v="1"/>
    </i>
    <i>
      <x v="6"/>
      <x v="1"/>
    </i>
    <i>
      <x v="9"/>
      <x/>
    </i>
  </rowItems>
  <colItems count="1">
    <i/>
  </colItems>
  <pageFields count="1">
    <pageField fld="2" hier="7" name="[cars_datasets_2025].[performance_0_100_kmh_sec].&amp;[3.]" cap="3"/>
  </pageFields>
  <dataFields count="1">
    <dataField name="Average of Acceleration (0–100 km/h, sec)" fld="3" subtotal="average" baseField="1"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multipleItemSelectionAllowed="1" dragToData="1" caption="Acceleration (0–100 km/h, sec)">
      <members count="124" level="1">
        <member name="[cars_datasets_2025].[performance_0_100_kmh_sec].&amp;[3.]"/>
        <member name=""/>
        <member name="[cars_datasets_2025].[performance_0_100_kmh_sec].&amp;[5.]"/>
        <member name="[cars_datasets_2025].[performance_0_100_kmh_sec].&amp;[6.]"/>
        <member name="[cars_datasets_2025].[performance_0_100_kmh_sec].&amp;[7.]"/>
        <member name="[cars_datasets_2025].[performance_0_100_kmh_sec].&amp;[8.]"/>
        <member name="[cars_datasets_2025].[performance_0_100_kmh_sec].&amp;[9.]"/>
        <member name=""/>
        <member name=""/>
        <member name=""/>
        <member name=""/>
        <member name=""/>
        <member name=""/>
        <member name="[cars_datasets_2025].[performance_0_100_kmh_sec].&amp;[2.6]"/>
        <member name="[cars_datasets_2025].[performance_0_100_kmh_sec].&amp;[2.7]"/>
        <member name=""/>
        <member name="[cars_datasets_2025].[performance_0_100_kmh_sec].&amp;[2.9]"/>
        <member name="[cars_datasets_2025].[performance_0_100_kmh_sec].&amp;[3.1]"/>
        <member name=""/>
        <member name="[cars_datasets_2025].[performance_0_100_kmh_sec].&amp;[3.3]"/>
        <member name=""/>
        <member name="[cars_datasets_2025].[performance_0_100_kmh_sec].&amp;[3.5]"/>
        <member name=""/>
        <member name="[cars_datasets_2025].[performance_0_100_kmh_sec].&amp;[3.7]"/>
        <member name="[cars_datasets_2025].[performance_0_100_kmh_sec].&amp;[3.8]"/>
        <member name=""/>
        <member name="[cars_datasets_2025].[performance_0_100_kmh_sec].&amp;[4.1]"/>
        <member name=""/>
        <member name=""/>
        <member name="[cars_datasets_2025].[performance_0_100_kmh_sec].&amp;[4.4]"/>
        <member name="[cars_datasets_2025].[performance_0_100_kmh_sec].&amp;[4.5]"/>
        <member name="[cars_datasets_2025].[performance_0_100_kmh_sec].&amp;[4.6]"/>
        <member name=""/>
        <member name=""/>
        <member name="[cars_datasets_2025].[performance_0_100_kmh_sec].&amp;[4.9]"/>
        <member name="[cars_datasets_2025].[performance_0_100_kmh_sec].&amp;[5.1]"/>
        <member name="[cars_datasets_2025].[performance_0_100_kmh_sec].&amp;[5.2]"/>
        <member name="[cars_datasets_2025].[performance_0_100_kmh_sec].&amp;[5.3]"/>
        <member name="[cars_datasets_2025].[performance_0_100_kmh_sec].&amp;[5.4]"/>
        <member name="[cars_datasets_2025].[performance_0_100_kmh_sec].&amp;[5.5]"/>
        <member name="[cars_datasets_2025].[performance_0_100_kmh_sec].&amp;[5.6]"/>
        <member name="[cars_datasets_2025].[performance_0_100_kmh_sec].&amp;[5.7]"/>
        <member name="[cars_datasets_2025].[performance_0_100_kmh_sec].&amp;[5.8]"/>
        <member name="[cars_datasets_2025].[performance_0_100_kmh_sec].&amp;[5.9]"/>
        <member name="[cars_datasets_2025].[performance_0_100_kmh_sec].&amp;[6.1]"/>
        <member name="[cars_datasets_2025].[performance_0_100_kmh_sec].&amp;[6.2]"/>
        <member name="[cars_datasets_2025].[performance_0_100_kmh_sec].&amp;[6.3]"/>
        <member name="[cars_datasets_2025].[performance_0_100_kmh_sec].&amp;[6.4]"/>
        <member name="[cars_datasets_2025].[performance_0_100_kmh_sec].&amp;[6.5]"/>
        <member name="[cars_datasets_2025].[performance_0_100_kmh_sec].&amp;[6.6]"/>
        <member name="[cars_datasets_2025].[performance_0_100_kmh_sec].&amp;[6.7]"/>
        <member name="[cars_datasets_2025].[performance_0_100_kmh_sec].&amp;[6.8]"/>
        <member name="[cars_datasets_2025].[performance_0_100_kmh_sec].&amp;[6.9]"/>
        <member name="[cars_datasets_2025].[performance_0_100_kmh_sec].&amp;[7.1]"/>
        <member name="[cars_datasets_2025].[performance_0_100_kmh_sec].&amp;[7.2]"/>
        <member name="[cars_datasets_2025].[performance_0_100_kmh_sec].&amp;[7.3]"/>
        <member name="[cars_datasets_2025].[performance_0_100_kmh_sec].&amp;[7.4]"/>
        <member name="[cars_datasets_2025].[performance_0_100_kmh_sec].&amp;[7.5]"/>
        <member name="[cars_datasets_2025].[performance_0_100_kmh_sec].&amp;[7.6]"/>
        <member name="[cars_datasets_2025].[performance_0_100_kmh_sec].&amp;[7.7]"/>
        <member name="[cars_datasets_2025].[performance_0_100_kmh_sec].&amp;[7.8]"/>
        <member name="[cars_datasets_2025].[performance_0_100_kmh_sec].&amp;[7.9]"/>
        <member name="[cars_datasets_2025].[performance_0_100_kmh_sec].&amp;[8.1]"/>
        <member name="[cars_datasets_2025].[performance_0_100_kmh_sec].&amp;[8.2]"/>
        <member name="[cars_datasets_2025].[performance_0_100_kmh_sec].&amp;[8.3]"/>
        <member name="[cars_datasets_2025].[performance_0_100_kmh_sec].&amp;[8.4]"/>
        <member name="[cars_datasets_2025].[performance_0_100_kmh_sec].&amp;[8.5]"/>
        <member name="[cars_datasets_2025].[performance_0_100_kmh_sec].&amp;[8.6]"/>
        <member name="[cars_datasets_2025].[performance_0_100_kmh_sec].&amp;[8.7]"/>
        <member name="[cars_datasets_2025].[performance_0_100_kmh_sec].&amp;[8.8]"/>
        <member name="[cars_datasets_2025].[performance_0_100_kmh_sec].&amp;[8.9]"/>
        <member name="[cars_datasets_2025].[performance_0_100_kmh_sec].&amp;[9.1]"/>
        <member name="[cars_datasets_2025].[performance_0_100_kmh_sec].&amp;[9.2]"/>
        <member name="[cars_datasets_2025].[performance_0_100_kmh_sec].&amp;[9.3]"/>
        <member name="[cars_datasets_2025].[performance_0_100_kmh_sec].&amp;[9.4]"/>
        <member name="[cars_datasets_2025].[performance_0_100_kmh_sec].&amp;[9.5]"/>
        <member name="[cars_datasets_2025].[performance_0_100_kmh_sec].&amp;[9.6]"/>
        <member name="[cars_datasets_2025].[performance_0_100_kmh_sec].&amp;[9.7]"/>
        <member name="[cars_datasets_2025].[performance_0_100_kmh_sec].&amp;[9.8]"/>
        <member name="[cars_datasets_2025].[performance_0_100_kmh_sec].&amp;[9.9]"/>
        <member name="[cars_datasets_2025].[performance_0_100_kmh_sec].&amp;[1.E1]"/>
        <member name=""/>
        <member name="[cars_datasets_2025].[performance_0_100_kmh_sec].&amp;[1.1E1]"/>
        <member name="[cars_datasets_2025].[performance_0_100_kmh_sec].&amp;[1.2E1]"/>
        <member name="[cars_datasets_2025].[performance_0_100_kmh_sec].&amp;[1.3E1]"/>
        <member name="[cars_datasets_2025].[performance_0_100_kmh_sec].&amp;[1.4E1]"/>
        <member name="[cars_datasets_2025].[performance_0_100_kmh_sec].&amp;[1.5E1]"/>
        <member name="[cars_datasets_2025].[performance_0_100_kmh_sec].&amp;[1.6E1]"/>
        <member name="[cars_datasets_2025].[performance_0_100_kmh_sec].&amp;[1.7E1]"/>
        <member name=""/>
        <member name=""/>
        <member name=""/>
        <member name=""/>
        <member name=""/>
        <member name="[cars_datasets_2025].[performance_0_100_kmh_sec].&amp;[1.01E1]"/>
        <member name="[cars_datasets_2025].[performance_0_100_kmh_sec].&amp;[1.02E1]"/>
        <member name="[cars_datasets_2025].[performance_0_100_kmh_sec].&amp;[1.03E1]"/>
        <member name="[cars_datasets_2025].[performance_0_100_kmh_sec].&amp;[1.04E1]"/>
        <member name="[cars_datasets_2025].[performance_0_100_kmh_sec].&amp;[1.05E1]"/>
        <member name="[cars_datasets_2025].[performance_0_100_kmh_sec].&amp;[1.06E1]"/>
        <member name="[cars_datasets_2025].[performance_0_100_kmh_sec].&amp;[1.07E1]"/>
        <member name="[cars_datasets_2025].[performance_0_100_kmh_sec].&amp;[1.08E1]"/>
        <member name="[cars_datasets_2025].[performance_0_100_kmh_sec].&amp;[1.09E1]"/>
        <member name="[cars_datasets_2025].[performance_0_100_kmh_sec].&amp;[1.12E1]"/>
        <member name="[cars_datasets_2025].[performance_0_100_kmh_sec].&amp;[1.15E1]"/>
        <member name="[cars_datasets_2025].[performance_0_100_kmh_sec].&amp;[1.17E1]"/>
        <member name="[cars_datasets_2025].[performance_0_100_kmh_sec].&amp;[1.19E1]"/>
        <member name="[cars_datasets_2025].[performance_0_100_kmh_sec].&amp;[1.22E1]"/>
        <member name="[cars_datasets_2025].[performance_0_100_kmh_sec].&amp;[1.23E1]"/>
        <member name="[cars_datasets_2025].[performance_0_100_kmh_sec].&amp;[1.24E1]"/>
        <member name="[cars_datasets_2025].[performance_0_100_kmh_sec].&amp;[1.25E1]"/>
        <member name="[cars_datasets_2025].[performance_0_100_kmh_sec].&amp;[1.28E1]"/>
        <member name="[cars_datasets_2025].[performance_0_100_kmh_sec].&amp;[1.29E1]"/>
        <member name="[cars_datasets_2025].[performance_0_100_kmh_sec].&amp;[1.35E1]"/>
        <member name="[cars_datasets_2025].[performance_0_100_kmh_sec].&amp;[1.37E1]"/>
        <member name="[cars_datasets_2025].[performance_0_100_kmh_sec].&amp;[1.38E1]"/>
        <member name="[cars_datasets_2025].[performance_0_100_kmh_sec].&amp;[1.43E1]"/>
        <member name="[cars_datasets_2025].[performance_0_100_kmh_sec].&amp;[1.45E1]"/>
        <member name="[cars_datasets_2025].[performance_0_100_kmh_sec].&amp;[1.48E1]"/>
        <member name="[cars_datasets_2025].[performance_0_100_kmh_sec].&amp;[1.55E1]"/>
        <member name="[cars_datasets_2025].[performance_0_100_kmh_sec].&amp;[1.65E1]"/>
        <member name="[cars_datasets_2025].[performance_0_100_kmh_sec].&amp;[1.75E1]"/>
        <member name=""/>
        <member name=""/>
      </members>
    </pivotHierarchy>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cceleration (0–100 km/h, sec)"/>
    <pivotHierarchy dragToData="1" caption="Average of Acceleration (0–100 km/h, sec)"/>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8" iMeasureHier="29">
      <autoFilter ref="A1">
        <filterColumn colId="0">
          <top10 top="0" val="10" filterVal="10"/>
        </filterColumn>
      </autoFilter>
    </filter>
  </filters>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F8B946-61CC-4E5F-AC1A-5160D0200DC1}" name="bottom10cars" cacheId="3" applyNumberFormats="0" applyBorderFormats="0" applyFontFormats="0" applyPatternFormats="0" applyAlignmentFormats="0" applyWidthHeightFormats="1" dataCaption="Values" tag="ba4d58c1-45db-4908-b60b-d37d78e288d3" updatedVersion="8" minRefreshableVersion="3" useAutoFormatting="1" subtotalHiddenItems="1" rowGrandTotals="0" colGrandTotals="0" itemPrintTitles="1" createdVersion="5" indent="0" outline="1" outlineData="1" multipleFieldFilters="0" chartFormat="20" rowHeaderCaption="car name">
  <location ref="D3:E23" firstHeaderRow="1" firstDataRow="1" firstDataCol="1" rowPageCount="1" colPageCount="1"/>
  <pivotFields count="4">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2">
        <item x="0"/>
        <item x="1"/>
      </items>
    </pivotField>
    <pivotField dataField="1" subtotalTop="0" showAll="0" defaultSubtotal="0"/>
    <pivotField axis="axisPage" allDrilled="1" subtotalTop="0" showAll="0" dataSourceSort="1" defaultSubtotal="0" defaultAttributeDrillState="1"/>
  </pivotFields>
  <rowFields count="2">
    <field x="0"/>
    <field x="1"/>
  </rowFields>
  <rowItems count="20">
    <i>
      <x v="9"/>
    </i>
    <i r="1">
      <x v="1"/>
    </i>
    <i>
      <x v="7"/>
    </i>
    <i r="1">
      <x/>
    </i>
    <i>
      <x/>
    </i>
    <i r="1">
      <x/>
    </i>
    <i>
      <x v="8"/>
    </i>
    <i r="1">
      <x v="1"/>
    </i>
    <i>
      <x v="4"/>
    </i>
    <i r="1">
      <x v="1"/>
    </i>
    <i>
      <x v="5"/>
    </i>
    <i r="1">
      <x v="1"/>
    </i>
    <i>
      <x v="3"/>
    </i>
    <i r="1">
      <x v="1"/>
    </i>
    <i>
      <x v="1"/>
    </i>
    <i r="1">
      <x v="1"/>
    </i>
    <i>
      <x v="2"/>
    </i>
    <i r="1">
      <x v="1"/>
    </i>
    <i>
      <x v="6"/>
    </i>
    <i r="1">
      <x v="1"/>
    </i>
  </rowItems>
  <colItems count="1">
    <i/>
  </colItems>
  <pageFields count="1">
    <pageField fld="3" hier="8" name="[cars_datasets_2025].[cars_prices].&amp;[1.E4]" cap="10000"/>
  </pageFields>
  <dataFields count="1">
    <dataField name="price" fld="2" subtotal="min" baseField="0" baseItem="0"/>
  </dataFields>
  <formats count="1">
    <format>
      <pivotArea outline="0" collapsedLevelsAreSubtotals="1" fieldPosition="0"/>
    </format>
  </formats>
  <chartFormats count="5">
    <chartFormat chart="11" format="7" series="1">
      <pivotArea type="data" outline="0" fieldPosition="0">
        <references count="1">
          <reference field="4294967294" count="1" selected="0">
            <x v="0"/>
          </reference>
        </references>
      </pivotArea>
    </chartFormat>
    <chartFormat chart="12" format="8" series="1">
      <pivotArea type="data" outline="0" fieldPosition="0">
        <references count="1">
          <reference field="4294967294" count="1" selected="0">
            <x v="0"/>
          </reference>
        </references>
      </pivotArea>
    </chartFormat>
    <chartFormat chart="13" format="7"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 chart="8" format="12" series="1">
      <pivotArea type="data" outline="0" fieldPosition="0">
        <references count="1">
          <reference field="4294967294" count="1" selected="0">
            <x v="0"/>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members count="461" level="1">
        <member name="[cars_datasets_2025].[cars_prices].&amp;[1.E4]"/>
        <member name="[cars_datasets_2025].[cars_prices].&amp;[1.E5]"/>
        <member name="[cars_datasets_2025].[cars_prices].&amp;[1.E6]"/>
        <member name="[cars_datasets_2025].[cars_prices].&amp;[2.E4]"/>
        <member name="[cars_datasets_2025].[cars_prices].&amp;[2.E5]"/>
        <member name="[cars_datasets_2025].[cars_prices].&amp;[3.E4]"/>
        <member name="[cars_datasets_2025].[cars_prices].&amp;[3.E6]"/>
        <member name="[cars_datasets_2025].[cars_prices].&amp;[4.E3]"/>
        <member name="[cars_datasets_2025].[cars_prices].&amp;[4.E4]"/>
        <member name="[cars_datasets_2025].[cars_prices].&amp;[5.E3]"/>
        <member name="[cars_datasets_2025].[cars_prices].&amp;[5.E4]"/>
        <member name="[cars_datasets_2025].[cars_prices].&amp;[5.E5]"/>
        <member name="[cars_datasets_2025].[cars_prices].&amp;[5.E6]"/>
        <member name="[cars_datasets_2025].[cars_prices].&amp;[6.E4]"/>
        <member name="[cars_datasets_2025].[cars_prices].&amp;[6.E5]"/>
        <member name="[cars_datasets_2025].[cars_prices].&amp;[6.E6]"/>
        <member name="[cars_datasets_2025].[cars_prices].&amp;[7.E3]"/>
        <member name="[cars_datasets_2025].[cars_prices].&amp;[7.E4]"/>
        <member name="[cars_datasets_2025].[cars_prices].&amp;[8.E4]"/>
        <member name="[cars_datasets_2025].[cars_prices].&amp;[9.E3]"/>
        <member name="[cars_datasets_2025].[cars_prices].&amp;[9.E4]"/>
        <member name="[cars_datasets_2025].[cars_prices].&amp;[9.E6]"/>
        <member name="[cars_datasets_2025].[cars_prices].&amp;[1.1E4]"/>
        <member name="[cars_datasets_2025].[cars_prices].&amp;[1.1E5]"/>
        <member name="[cars_datasets_2025].[cars_prices].&amp;[1.1E6]"/>
        <member name="[cars_datasets_2025].[cars_prices].&amp;[1.2E4]"/>
        <member name="[cars_datasets_2025].[cars_prices].&amp;[1.2E5]"/>
        <member name="[cars_datasets_2025].[cars_prices].&amp;[1.3E4]"/>
        <member name="[cars_datasets_2025].[cars_prices].&amp;[1.3E5]"/>
        <member name="[cars_datasets_2025].[cars_prices].&amp;[1.3E6]"/>
        <member name="[cars_datasets_2025].[cars_prices].&amp;[1.4E4]"/>
        <member name="[cars_datasets_2025].[cars_prices].&amp;[1.5E4]"/>
        <member name="[cars_datasets_2025].[cars_prices].&amp;[1.5E5]"/>
        <member name="[cars_datasets_2025].[cars_prices].&amp;[1.6E4]"/>
        <member name="[cars_datasets_2025].[cars_prices].&amp;[1.6E5]"/>
        <member name="[cars_datasets_2025].[cars_prices].&amp;[1.7E4]"/>
        <member name="[cars_datasets_2025].[cars_prices].&amp;[1.7E5]"/>
        <member name="[cars_datasets_2025].[cars_prices].&amp;[1.7E6]"/>
        <member name="[cars_datasets_2025].[cars_prices].&amp;[1.8E4]"/>
        <member name="[cars_datasets_2025].[cars_prices].&amp;[1.8E5]"/>
        <member name="[cars_datasets_2025].[cars_prices].&amp;[1.8E7]"/>
        <member name="[cars_datasets_2025].[cars_prices].&amp;[1.9E4]"/>
        <member name="[cars_datasets_2025].[cars_prices].&amp;[1.9E5]"/>
        <member name="[cars_datasets_2025].[cars_prices].&amp;[2.1E4]"/>
        <member name="[cars_datasets_2025].[cars_prices].&amp;[2.1E5]"/>
        <member name="[cars_datasets_2025].[cars_prices].&amp;[2.2E4]"/>
        <member name="[cars_datasets_2025].[cars_prices].&amp;[2.2E5]"/>
        <member name="[cars_datasets_2025].[cars_prices].&amp;[2.3E4]"/>
        <member name="[cars_datasets_2025].[cars_prices].&amp;[2.3E5]"/>
        <member name="[cars_datasets_2025].[cars_prices].&amp;[2.4E4]"/>
        <member name="[cars_datasets_2025].[cars_prices].&amp;[2.4E5]"/>
        <member name="[cars_datasets_2025].[cars_prices].&amp;[2.5E4]"/>
        <member name="[cars_datasets_2025].[cars_prices].&amp;[2.6E4]"/>
        <member name="[cars_datasets_2025].[cars_prices].&amp;[2.7E4]"/>
        <member name="[cars_datasets_2025].[cars_prices].&amp;[2.8E4]"/>
        <member name="[cars_datasets_2025].[cars_prices].&amp;[2.8E5]"/>
        <member name="[cars_datasets_2025].[cars_prices].&amp;[2.8E6]"/>
        <member name="[cars_datasets_2025].[cars_prices].&amp;[2.9E4]"/>
        <member name="[cars_datasets_2025].[cars_prices].&amp;[2.9E5]"/>
        <member name="[cars_datasets_2025].[cars_prices].&amp;[3.1E4]"/>
        <member name="[cars_datasets_2025].[cars_prices].&amp;[3.2E4]"/>
        <member name="[cars_datasets_2025].[cars_prices].&amp;[3.2E5]"/>
        <member name="[cars_datasets_2025].[cars_prices].&amp;[3.2E6]"/>
        <member name="[cars_datasets_2025].[cars_prices].&amp;[3.3E4]"/>
        <member name="[cars_datasets_2025].[cars_prices].&amp;[3.3E5]"/>
        <member name="[cars_datasets_2025].[cars_prices].&amp;[3.3E6]"/>
        <member name="[cars_datasets_2025].[cars_prices].&amp;[3.4E4]"/>
        <member name="[cars_datasets_2025].[cars_prices].&amp;[3.4E5]"/>
        <member name="[cars_datasets_2025].[cars_prices].&amp;[3.5E4]"/>
        <member name="[cars_datasets_2025].[cars_prices].&amp;[3.5E5]"/>
        <member name="[cars_datasets_2025].[cars_prices].&amp;[3.5E6]"/>
        <member name="[cars_datasets_2025].[cars_prices].&amp;[3.6E4]"/>
        <member name="[cars_datasets_2025].[cars_prices].&amp;[3.6E5]"/>
        <member name="[cars_datasets_2025].[cars_prices].&amp;[3.7E4]"/>
        <member name="[cars_datasets_2025].[cars_prices].&amp;[3.7E5]"/>
        <member name="[cars_datasets_2025].[cars_prices].&amp;[3.8E4]"/>
        <member name="[cars_datasets_2025].[cars_prices].&amp;[3.8E5]"/>
        <member name="[cars_datasets_2025].[cars_prices].&amp;[3.9E4]"/>
        <member name="[cars_datasets_2025].[cars_prices].&amp;[3.9E5]"/>
        <member name="[cars_datasets_2025].[cars_prices].&amp;[4.1E4]"/>
        <member name="[cars_datasets_2025].[cars_prices].&amp;[4.2E4]"/>
        <member name="[cars_datasets_2025].[cars_prices].&amp;[4.3E4]"/>
        <member name="[cars_datasets_2025].[cars_prices].&amp;[4.4E4]"/>
        <member name="[cars_datasets_2025].[cars_prices].&amp;[4.5E4]"/>
        <member name="[cars_datasets_2025].[cars_prices].&amp;[4.5E5]"/>
        <member name="[cars_datasets_2025].[cars_prices].&amp;[4.5E6]"/>
        <member name="[cars_datasets_2025].[cars_prices].&amp;[4.6E4]"/>
        <member name="[cars_datasets_2025].[cars_prices].&amp;[4.6E5]"/>
        <member name="[cars_datasets_2025].[cars_prices].&amp;[4.7E4]"/>
        <member name="[cars_datasets_2025].[cars_prices].&amp;[4.8E4]"/>
        <member name="[cars_datasets_2025].[cars_prices].&amp;[4.9E4]"/>
        <member name="[cars_datasets_2025].[cars_prices].&amp;[5.1E4]"/>
        <member name="[cars_datasets_2025].[cars_prices].&amp;[5.2E4]"/>
        <member name="[cars_datasets_2025].[cars_prices].&amp;[5.3E4]"/>
        <member name="[cars_datasets_2025].[cars_prices].&amp;[5.4E4]"/>
        <member name="[cars_datasets_2025].[cars_prices].&amp;[5.5E4]"/>
        <member name="[cars_datasets_2025].[cars_prices].&amp;[5.6E4]"/>
        <member name="[cars_datasets_2025].[cars_prices].&amp;[5.7E4]"/>
        <member name="[cars_datasets_2025].[cars_prices].&amp;[5.8E4]"/>
        <member name="[cars_datasets_2025].[cars_prices].&amp;[5.8E6]"/>
        <member name="[cars_datasets_2025].[cars_prices].&amp;[5.9E4]"/>
        <member name="[cars_datasets_2025].[cars_prices].&amp;[6.1E4]"/>
        <member name="[cars_datasets_2025].[cars_prices].&amp;[6.2E3]"/>
        <member name="[cars_datasets_2025].[cars_prices].&amp;[6.2E4]"/>
        <member name="[cars_datasets_2025].[cars_prices].&amp;[6.3E4]"/>
        <member name="[cars_datasets_2025].[cars_prices].&amp;[6.4E4]"/>
        <member name="[cars_datasets_2025].[cars_prices].&amp;[6.5E3]"/>
        <member name="[cars_datasets_2025].[cars_prices].&amp;[6.5E4]"/>
        <member name="[cars_datasets_2025].[cars_prices].&amp;[6.7E4]"/>
        <member name="[cars_datasets_2025].[cars_prices].&amp;[6.8E4]"/>
        <member name="[cars_datasets_2025].[cars_prices].&amp;[6.9E4]"/>
        <member name="[cars_datasets_2025].[cars_prices].&amp;[7.1E4]"/>
        <member name="[cars_datasets_2025].[cars_prices].&amp;[7.2E3]"/>
        <member name="[cars_datasets_2025].[cars_prices].&amp;[7.2E4]"/>
        <member name="[cars_datasets_2025].[cars_prices].&amp;[7.5E4]"/>
        <member name="[cars_datasets_2025].[cars_prices].&amp;[7.5E5]"/>
        <member name="[cars_datasets_2025].[cars_prices].&amp;[7.6E4]"/>
        <member name="[cars_datasets_2025].[cars_prices].&amp;[7.7E4]"/>
        <member name="[cars_datasets_2025].[cars_prices].&amp;[7.8E4]"/>
        <member name="[cars_datasets_2025].[cars_prices].&amp;[7.9E4]"/>
        <member name="[cars_datasets_2025].[cars_prices].&amp;[8.1E4]"/>
        <member name="[cars_datasets_2025].[cars_prices].&amp;[8.2E3]"/>
        <member name="[cars_datasets_2025].[cars_prices].&amp;[8.2E4]"/>
        <member name="[cars_datasets_2025].[cars_prices].&amp;[8.3E3]"/>
        <member name="[cars_datasets_2025].[cars_prices].&amp;[8.3E4]"/>
        <member name="[cars_datasets_2025].[cars_prices].&amp;[8.5E4]"/>
        <member name="[cars_datasets_2025].[cars_prices].&amp;[8.6E4]"/>
        <member name="[cars_datasets_2025].[cars_prices].&amp;[8.7E3]"/>
        <member name="[cars_datasets_2025].[cars_prices].&amp;[8.8E4]"/>
        <member name="[cars_datasets_2025].[cars_prices].&amp;[9.1E4]"/>
        <member name="[cars_datasets_2025].[cars_prices].&amp;[9.2E3]"/>
        <member name="[cars_datasets_2025].[cars_prices].&amp;[9.2E4]"/>
        <member name="[cars_datasets_2025].[cars_prices].&amp;[9.4E3]"/>
        <member name="[cars_datasets_2025].[cars_prices].&amp;[9.5E4]"/>
        <member name="[cars_datasets_2025].[cars_prices].&amp;[9.6E4]"/>
        <member name="[cars_datasets_2025].[cars_prices].&amp;[9.8E4]"/>
        <member name="[cars_datasets_2025].[cars_prices].&amp;[9.9E4]"/>
        <member name="[cars_datasets_2025].[cars_prices].&amp;[1.01E5]"/>
        <member name="[cars_datasets_2025].[cars_prices].&amp;[1.02E5]"/>
        <member name="[cars_datasets_2025].[cars_prices].&amp;[1.04E4]"/>
        <member name="[cars_datasets_2025].[cars_prices].&amp;[1.04E5]"/>
        <member name="[cars_datasets_2025].[cars_prices].&amp;[1.05E4]"/>
        <member name="[cars_datasets_2025].[cars_prices].&amp;[1.05E5]"/>
        <member name="[cars_datasets_2025].[cars_prices].&amp;[1.08E5]"/>
        <member name="[cars_datasets_2025].[cars_prices].&amp;[1.09E5]"/>
        <member name="[cars_datasets_2025].[cars_prices].&amp;[1.13E4]"/>
        <member name="[cars_datasets_2025].[cars_prices].&amp;[1.13E5]"/>
        <member name="[cars_datasets_2025].[cars_prices].&amp;[1.14E4]"/>
        <member name="[cars_datasets_2025].[cars_prices].&amp;[1.14E5]"/>
        <member name="[cars_datasets_2025].[cars_prices].&amp;[1.15E5]"/>
        <member name="[cars_datasets_2025].[cars_prices].&amp;[1.16E5]"/>
        <member name="[cars_datasets_2025].[cars_prices].&amp;[1.18E4]"/>
        <member name="[cars_datasets_2025].[cars_prices].&amp;[1.24E4]"/>
        <member name="[cars_datasets_2025].[cars_prices].&amp;[1.25E5]"/>
        <member name="[cars_datasets_2025].[cars_prices].&amp;[1.33E5]"/>
        <member name="[cars_datasets_2025].[cars_prices].&amp;[1.35E4]"/>
        <member name="[cars_datasets_2025].[cars_prices].&amp;[1.37E5]"/>
        <member name="[cars_datasets_2025].[cars_prices].&amp;[1.42E5]"/>
        <member name="[cars_datasets_2025].[cars_prices].&amp;[1.44E4]"/>
        <member name="[cars_datasets_2025].[cars_prices].&amp;[1.45E4]"/>
        <member name="[cars_datasets_2025].[cars_prices].&amp;[1.46E5]"/>
        <member name="[cars_datasets_2025].[cars_prices].&amp;[1.54E4]"/>
        <member name="[cars_datasets_2025].[cars_prices].&amp;[1.55E4]"/>
        <member name="[cars_datasets_2025].[cars_prices].&amp;[1.57E5]"/>
        <member name="[cars_datasets_2025].[cars_prices].&amp;[1.61E5]"/>
        <member name="[cars_datasets_2025].[cars_prices].&amp;[1.64E4]"/>
        <member name="[cars_datasets_2025].[cars_prices].&amp;[1.65E4]"/>
        <member name="[cars_datasets_2025].[cars_prices].&amp;[1.65E5]"/>
        <member name="[cars_datasets_2025].[cars_prices].&amp;[1.67E4]"/>
        <member name="[cars_datasets_2025].[cars_prices].&amp;[1.75E4]"/>
        <member name="[cars_datasets_2025].[cars_prices].&amp;[1.75E5]"/>
        <member name="[cars_datasets_2025].[cars_prices].&amp;[1.84E4]"/>
        <member name="[cars_datasets_2025].[cars_prices].&amp;[1.85E4]"/>
        <member name="[cars_datasets_2025].[cars_prices].&amp;[1.85E5]"/>
        <member name="[cars_datasets_2025].[cars_prices].&amp;[1.89E5]"/>
        <member name="[cars_datasets_2025].[cars_prices].&amp;[1.94E5]"/>
        <member name="[cars_datasets_2025].[cars_prices].&amp;[2.04E4]"/>
        <member name="[cars_datasets_2025].[cars_prices].&amp;[2.05E4]"/>
        <member name="[cars_datasets_2025].[cars_prices].&amp;[2.07E5]"/>
        <member name="[cars_datasets_2025].[cars_prices].&amp;[2.08E5]"/>
        <member name="[cars_datasets_2025].[cars_prices].&amp;[2.11E5]"/>
        <member name="[cars_datasets_2025].[cars_prices].&amp;[2.15E4]"/>
        <member name="[cars_datasets_2025].[cars_prices].&amp;[2.22E5]"/>
        <member name="[cars_datasets_2025].[cars_prices].&amp;[2.25E4]"/>
        <member name="[cars_datasets_2025].[cars_prices].&amp;[2.31E4]"/>
        <member name="[cars_datasets_2025].[cars_prices].&amp;[2.33E5]"/>
        <member name="[cars_datasets_2025].[cars_prices].&amp;[2.35E4]"/>
        <member name="[cars_datasets_2025].[cars_prices].&amp;[2.41E4]"/>
        <member name="[cars_datasets_2025].[cars_prices].&amp;[2.42E5]"/>
        <member name="[cars_datasets_2025].[cars_prices].&amp;[2.44E4]"/>
        <member name="[cars_datasets_2025].[cars_prices].&amp;[2.45E4]"/>
        <member name="[cars_datasets_2025].[cars_prices].&amp;[2.45E5]"/>
        <member name="[cars_datasets_2025].[cars_prices].&amp;[2.53E5]"/>
        <member name="[cars_datasets_2025].[cars_prices].&amp;[2.55E4]"/>
        <member name="[cars_datasets_2025].[cars_prices].&amp;[2.58E4]"/>
        <member name="[cars_datasets_2025].[cars_prices].&amp;[2.58E5]"/>
        <member name="[cars_datasets_2025].[cars_prices].&amp;[2.61E5]"/>
        <member name="[cars_datasets_2025].[cars_prices].&amp;[2.63E5]"/>
        <member name="[cars_datasets_2025].[cars_prices].&amp;[2.64E4]"/>
        <member name="[cars_datasets_2025].[cars_prices].&amp;[2.65E4]"/>
        <member name="[cars_datasets_2025].[cars_prices].&amp;[2.66E4]"/>
        <member name="[cars_datasets_2025].[cars_prices].&amp;[2.67E4]"/>
        <member name="[cars_datasets_2025].[cars_prices].&amp;[2.71E4]"/>
        <member name="[cars_datasets_2025].[cars_prices].&amp;[2.73E5]"/>
        <member name="[cars_datasets_2025].[cars_prices].&amp;[2.74E5]"/>
        <member name="[cars_datasets_2025].[cars_prices].&amp;[2.75E4]"/>
        <member name="[cars_datasets_2025].[cars_prices].&amp;[2.84E4]"/>
        <member name="[cars_datasets_2025].[cars_prices].&amp;[2.85E4]"/>
        <member name="[cars_datasets_2025].[cars_prices].&amp;[2.87E4]"/>
        <member name="[cars_datasets_2025].[cars_prices].&amp;[2.87E5]"/>
        <member name="[cars_datasets_2025].[cars_prices].&amp;[2.92E4]"/>
        <member name="[cars_datasets_2025].[cars_prices].&amp;[2.94E4]"/>
        <member name="[cars_datasets_2025].[cars_prices].&amp;[2.94E5]"/>
        <member name="[cars_datasets_2025].[cars_prices].&amp;[2.99E4]"/>
        <member name="[cars_datasets_2025].[cars_prices].&amp;[3.05E4]"/>
        <member name="[cars_datasets_2025].[cars_prices].&amp;[3.08E5]"/>
        <member name="[cars_datasets_2025].[cars_prices].&amp;[3.11E4]"/>
        <member name="[cars_datasets_2025].[cars_prices].&amp;[3.11E5]"/>
        <member name="[cars_datasets_2025].[cars_prices].&amp;[3.15E4]"/>
        <member name="[cars_datasets_2025].[cars_prices].&amp;[3.16E5]"/>
        <member name="[cars_datasets_2025].[cars_prices].&amp;[3.17E4]"/>
        <member name="[cars_datasets_2025].[cars_prices].&amp;[3.19E4]"/>
        <member name="[cars_datasets_2025].[cars_prices].&amp;[3.25E4]"/>
        <member name="[cars_datasets_2025].[cars_prices].&amp;[3.25E5]"/>
        <member name="[cars_datasets_2025].[cars_prices].&amp;[3.27E5]"/>
        <member name="[cars_datasets_2025].[cars_prices].&amp;[3.32E5]"/>
        <member name="[cars_datasets_2025].[cars_prices].&amp;[3.34E4]"/>
        <member name="[cars_datasets_2025].[cars_prices].&amp;[3.35E4]"/>
        <member name="[cars_datasets_2025].[cars_prices].&amp;[3.35E5]"/>
        <member name="[cars_datasets_2025].[cars_prices].&amp;[3.39E4]"/>
        <member name="[cars_datasets_2025].[cars_prices].&amp;[3.42E5]"/>
        <member name="[cars_datasets_2025].[cars_prices].&amp;[3.45E4]"/>
        <member name="[cars_datasets_2025].[cars_prices].&amp;[3.49E4]"/>
        <member name="[cars_datasets_2025].[cars_prices].&amp;[3.49E5]"/>
        <member name="[cars_datasets_2025].[cars_prices].&amp;[3.55E4]"/>
        <member name="[cars_datasets_2025].[cars_prices].&amp;[3.55E5]"/>
        <member name="[cars_datasets_2025].[cars_prices].&amp;[3.61E4]"/>
        <member name="[cars_datasets_2025].[cars_prices].&amp;[3.63E4]"/>
        <member name="[cars_datasets_2025].[cars_prices].&amp;[3.65E4]"/>
        <member name="[cars_datasets_2025].[cars_prices].&amp;[3.68E4]"/>
        <member name="[cars_datasets_2025].[cars_prices].&amp;[3.69E4]"/>
        <member name="[cars_datasets_2025].[cars_prices].&amp;[3.69E5]"/>
        <member name="[cars_datasets_2025].[cars_prices].&amp;[3.71E4]"/>
        <member name="[cars_datasets_2025].[cars_prices].&amp;[3.72E4]"/>
        <member name="[cars_datasets_2025].[cars_prices].&amp;[3.74E4]"/>
        <member name="[cars_datasets_2025].[cars_prices].&amp;[3.75E4]"/>
        <member name="[cars_datasets_2025].[cars_prices].&amp;[3.75E5]"/>
        <member name="[cars_datasets_2025].[cars_prices].&amp;[3.77E4]"/>
        <member name="[cars_datasets_2025].[cars_prices].&amp;[3.81E5]"/>
        <member name="[cars_datasets_2025].[cars_prices].&amp;[3.84E4]"/>
        <member name="[cars_datasets_2025].[cars_prices].&amp;[3.86E4]"/>
        <member name="[cars_datasets_2025].[cars_prices].&amp;[3.89E5]"/>
        <member name="[cars_datasets_2025].[cars_prices].&amp;[3.95E4]"/>
        <member name="[cars_datasets_2025].[cars_prices].&amp;[3.98E5]"/>
        <member name="[cars_datasets_2025].[cars_prices].&amp;[3.99E4]"/>
        <member name="[cars_datasets_2025].[cars_prices].&amp;[4.01E5]"/>
        <member name="[cars_datasets_2025].[cars_prices].&amp;[4.04E4]"/>
        <member name="[cars_datasets_2025].[cars_prices].&amp;[4.14E4]"/>
        <member name="[cars_datasets_2025].[cars_prices].&amp;[4.15E4]"/>
        <member name="[cars_datasets_2025].[cars_prices].&amp;[4.18E5]"/>
        <member name="[cars_datasets_2025].[cars_prices].&amp;[4.21E4]"/>
        <member name="[cars_datasets_2025].[cars_prices].&amp;[4.21E5]"/>
        <member name="[cars_datasets_2025].[cars_prices].&amp;[4.25E4]"/>
        <member name="[cars_datasets_2025].[cars_prices].&amp;[4.34E4]"/>
        <member name="[cars_datasets_2025].[cars_prices].&amp;[4.35E4]"/>
        <member name="[cars_datasets_2025].[cars_prices].&amp;[4.37E4]"/>
        <member name="[cars_datasets_2025].[cars_prices].&amp;[4.39E4]"/>
        <member name="[cars_datasets_2025].[cars_prices].&amp;[4.39E5]"/>
        <member name="[cars_datasets_2025].[cars_prices].&amp;[4.45E4]"/>
        <member name="[cars_datasets_2025].[cars_prices].&amp;[4.45E5]"/>
        <member name="[cars_datasets_2025].[cars_prices].&amp;[4.55E4]"/>
        <member name="[cars_datasets_2025].[cars_prices].&amp;[4.65E4]"/>
        <member name="[cars_datasets_2025].[cars_prices].&amp;[4.66E4]"/>
        <member name="[cars_datasets_2025].[cars_prices].&amp;[4.75E4]"/>
        <member name="[cars_datasets_2025].[cars_prices].&amp;[4.75E5]"/>
        <member name="[cars_datasets_2025].[cars_prices].&amp;[4.89E4]"/>
        <member name="[cars_datasets_2025].[cars_prices].&amp;[4.93E5]"/>
        <member name="[cars_datasets_2025].[cars_prices].&amp;[4.94E4]"/>
        <member name="[cars_datasets_2025].[cars_prices].&amp;[4.95E4]"/>
        <member name="[cars_datasets_2025].[cars_prices].&amp;[4.95E5]"/>
        <member name="[cars_datasets_2025].[cars_prices].&amp;[4.99E5]"/>
        <member name="[cars_datasets_2025].[cars_prices].&amp;[5.15E4]"/>
        <member name="[cars_datasets_2025].[cars_prices].&amp;[5.15E5]"/>
        <member name="[cars_datasets_2025].[cars_prices].&amp;[5.18E5]"/>
        <member name="[cars_datasets_2025].[cars_prices].&amp;[5.24E4]"/>
        <member name="[cars_datasets_2025].[cars_prices].&amp;[5.25E4]"/>
        <member name="[cars_datasets_2025].[cars_prices].&amp;[5.38E4]"/>
        <member name="[cars_datasets_2025].[cars_prices].&amp;[5.39E4]"/>
        <member name="[cars_datasets_2025].[cars_prices].&amp;[5.43E4]"/>
        <member name="[cars_datasets_2025].[cars_prices].&amp;[5.45E5]"/>
        <member name="[cars_datasets_2025].[cars_prices].&amp;[5.64E4]"/>
        <member name="[cars_datasets_2025].[cars_prices].&amp;[5.73E5]"/>
        <member name="[cars_datasets_2025].[cars_prices].&amp;[5.74E4]"/>
        <member name="[cars_datasets_2025].[cars_prices].&amp;[5.85E4]"/>
        <member name="[cars_datasets_2025].[cars_prices].&amp;[5.99E4]"/>
        <member name="[cars_datasets_2025].[cars_prices].&amp;[6.03E5]"/>
        <member name="[cars_datasets_2025].[cars_prices].&amp;[6.11E4]"/>
        <member name="[cars_datasets_2025].[cars_prices].&amp;[6.34E4]"/>
        <member name="[cars_datasets_2025].[cars_prices].&amp;[6.41E4]"/>
        <member name="[cars_datasets_2025].[cars_prices].&amp;[6.44E4]"/>
        <member name="[cars_datasets_2025].[cars_prices].&amp;[6.53E4]"/>
        <member name="[cars_datasets_2025].[cars_prices].&amp;[6.55E4]"/>
        <member name="[cars_datasets_2025].[cars_prices].&amp;[6.59E4]"/>
        <member name="[cars_datasets_2025].[cars_prices].&amp;[6.67E4]"/>
        <member name="[cars_datasets_2025].[cars_prices].&amp;[6.68E4]"/>
        <member name="[cars_datasets_2025].[cars_prices].&amp;[6.73E4]"/>
        <member name="[cars_datasets_2025].[cars_prices].&amp;[6.96E4]"/>
        <member name="[cars_datasets_2025].[cars_prices].&amp;[6.99E4]"/>
        <member name="[cars_datasets_2025].[cars_prices].&amp;[7.04E4]"/>
        <member name="[cars_datasets_2025].[cars_prices].&amp;[7.06E4]"/>
        <member name="[cars_datasets_2025].[cars_prices].&amp;[7.16E4]"/>
        <member name="[cars_datasets_2025].[cars_prices].&amp;[7.22E4]"/>
        <member name="[cars_datasets_2025].[cars_prices].&amp;[7.28E4]"/>
        <member name="[cars_datasets_2025].[cars_prices].&amp;[7.54E4]"/>
        <member name="[cars_datasets_2025].[cars_prices].&amp;[7.57E4]"/>
        <member name="[cars_datasets_2025].[cars_prices].&amp;[7.67E4]"/>
        <member name="[cars_datasets_2025].[cars_prices].&amp;[8.24E4]"/>
        <member name="[cars_datasets_2025].[cars_prices].&amp;[8.29E4]"/>
        <member name="[cars_datasets_2025].[cars_prices].&amp;[8.55E4]"/>
        <member name="[cars_datasets_2025].[cars_prices].&amp;[8.67E4]"/>
        <member name="[cars_datasets_2025].[cars_prices].&amp;[9.03E4]"/>
        <member name="[cars_datasets_2025].[cars_prices].&amp;[9.05E4]"/>
        <member name="[cars_datasets_2025].[cars_prices].&amp;[9.23E4]"/>
        <member name="[cars_datasets_2025].[cars_prices].&amp;[9.38E4]"/>
        <member name="[cars_datasets_2025].[cars_prices].&amp;[9.43E4]"/>
        <member name="[cars_datasets_2025].[cars_prices].&amp;[9.48E4]"/>
        <member name="[cars_datasets_2025].[cars_prices].&amp;[9.77E4]"/>
        <member name="[cars_datasets_2025].[cars_prices].&amp;[9.83E4]"/>
        <member name="[cars_datasets_2025].[cars_prices].&amp;[1.002E5]"/>
        <member name="[cars_datasets_2025].[cars_prices].&amp;[1.014E5]"/>
        <member name="[cars_datasets_2025].[cars_prices].&amp;[1.038E5]"/>
        <member name="[cars_datasets_2025].[cars_prices].&amp;[1.056E5]"/>
        <member name="[cars_datasets_2025].[cars_prices].&amp;[1.061E5]"/>
        <member name="[cars_datasets_2025].[cars_prices].&amp;[1.065E5]"/>
        <member name="[cars_datasets_2025].[cars_prices].&amp;[1.087E5]"/>
        <member name="[cars_datasets_2025].[cars_prices].&amp;[1.112E5]"/>
        <member name="[cars_datasets_2025].[cars_prices].&amp;[1.127E5]"/>
        <member name="[cars_datasets_2025].[cars_prices].&amp;[1.133E5]"/>
        <member name="[cars_datasets_2025].[cars_prices].&amp;[1.213E5]"/>
        <member name="[cars_datasets_2025].[cars_prices].&amp;[1.289E5]"/>
        <member name="[cars_datasets_2025].[cars_prices].&amp;[1.299E5]"/>
        <member name="[cars_datasets_2025].[cars_prices].&amp;[1.313E5]"/>
        <member name="[cars_datasets_2025].[cars_prices].&amp;[1.355E5]"/>
        <member name="[cars_datasets_2025].[cars_prices].&amp;[1.367E5]"/>
        <member name="[cars_datasets_2025].[cars_prices].&amp;[1.369E5]"/>
        <member name="[cars_datasets_2025].[cars_prices].&amp;[1.394E5]"/>
        <member name="[cars_datasets_2025].[cars_prices].&amp;[1.417E5]"/>
        <member name="[cars_datasets_2025].[cars_prices].&amp;[1.453E5]"/>
        <member name="[cars_datasets_2025].[cars_prices].&amp;[1.509E5]"/>
        <member name="[cars_datasets_2025].[cars_prices].&amp;[1.573E5]"/>
        <member name="[cars_datasets_2025].[cars_prices].&amp;[1.611E5]"/>
        <member name="[cars_datasets_2025].[cars_prices].&amp;[1.672E4]"/>
        <member name="[cars_datasets_2025].[cars_prices].&amp;[1.678E5]"/>
        <member name="[cars_datasets_2025].[cars_prices].&amp;[1.752E5]"/>
        <member name="[cars_datasets_2025].[cars_prices].&amp;[1.829E5]"/>
        <member name="[cars_datasets_2025].[cars_prices].&amp;[1.841E5]"/>
        <member name="[cars_datasets_2025].[cars_prices].&amp;[1.913E5]"/>
        <member name="[cars_datasets_2025].[cars_prices].&amp;[1.972E5]"/>
        <member name="[cars_datasets_2025].[cars_prices].&amp;[1.995E4]"/>
        <member name="[cars_datasets_2025].[cars_prices].&amp;[2.002E5]"/>
        <member name="[cars_datasets_2025].[cars_prices].&amp;[2.238E5]"/>
        <member name="[cars_datasets_2025].[cars_prices].&amp;[2.304E5]"/>
        <member name="[cars_datasets_2025].[cars_prices].&amp;[2.413E5]"/>
        <member name="[cars_datasets_2025].[cars_prices].&amp;[2.496E4]"/>
        <member name="[cars_datasets_2025].[cars_prices].&amp;[2.521E4]"/>
        <member name="[cars_datasets_2025].[cars_prices].&amp;[2.539E4]"/>
        <member name="[cars_datasets_2025].[cars_prices].&amp;[2.635E4]"/>
        <member name="[cars_datasets_2025].[cars_prices].&amp;[2.932E5]"/>
        <member name="[cars_datasets_2025].[cars_prices].&amp;[3.159E4]"/>
        <member name="[cars_datasets_2025].[cars_prices].&amp;[3.749E4]"/>
        <member name="[cars_datasets_2025].[cars_prices].&amp;[4.024E4]"/>
        <member name="[cars_datasets_2025].[cars_prices].&amp;[4.129E4]"/>
        <member name="[cars_datasets_2025].[cars_prices].&amp;[4.139E4]"/>
        <member name="[cars_datasets_2025].[cars_prices].&amp;[4.145E4]"/>
        <member name="[cars_datasets_2025].[cars_prices].&amp;[4.153E4]"/>
        <member name="[cars_datasets_2025].[cars_prices].&amp;[4.175E4]"/>
        <member name="[cars_datasets_2025].[cars_prices].&amp;[4.182E4]"/>
        <member name="[cars_datasets_2025].[cars_prices].&amp;[4.282E4]"/>
        <member name="[cars_datasets_2025].[cars_prices].&amp;[4.353E4]"/>
        <member name="[cars_datasets_2025].[cars_prices].&amp;[4.415E4]"/>
        <member name="[cars_datasets_2025].[cars_prices].&amp;[4.464E4]"/>
        <member name="[cars_datasets_2025].[cars_prices].&amp;[4.579E4]"/>
        <member name="[cars_datasets_2025].[cars_prices].&amp;[4.749E4]"/>
        <member name="[cars_datasets_2025].[cars_prices].&amp;[5.049E4]"/>
        <member name="[cars_datasets_2025].[cars_prices].&amp;[5.157E4]"/>
        <member name="[cars_datasets_2025].[cars_prices].&amp;[5.324E4]"/>
        <member name="[cars_datasets_2025].[cars_prices].&amp;[5.859E4]"/>
        <member name="[cars_datasets_2025].[cars_prices].&amp;[5.895E4]"/>
        <member name="[cars_datasets_2025].[cars_prices].&amp;[5.914E4]"/>
        <member name="[cars_datasets_2025].[cars_prices].&amp;[5.999E4]"/>
        <member name="[cars_datasets_2025].[cars_prices].&amp;[6.175E4]"/>
        <member name="[cars_datasets_2025].[cars_prices].&amp;[6.454E4]"/>
        <member name="[cars_datasets_2025].[cars_prices].&amp;[6.499E4]"/>
        <member name="[cars_datasets_2025].[cars_prices].&amp;[7.942E4]"/>
        <member name="[cars_datasets_2025].[cars_prices].&amp;[7.956E4]"/>
        <member name="[cars_datasets_2025].[cars_prices].&amp;[8.491E4]"/>
        <member name="[cars_datasets_2025].[cars_prices].&amp;[8.849E4]"/>
        <member name="[cars_datasets_2025].[cars_prices].&amp;[9.655E4]"/>
        <member name="[cars_datasets_2025].[cars_prices].&amp;[9.849E4]"/>
        <member name="[cars_datasets_2025].[cars_prices].&amp;[1.0849E5]"/>
        <member name="[cars_datasets_2025].[cars_prices].&amp;[1.1349E5]"/>
        <member name="[cars_datasets_2025].[cars_prices].&amp;[1.3275E5]"/>
        <member name="[cars_datasets_2025].[cars_prices].&amp;[1.4395E4]"/>
        <member name="[cars_datasets_2025].[cars_prices].&amp;[1.4595E4]"/>
        <member name="[cars_datasets_2025].[cars_prices].&amp;[1.4999E5]"/>
        <member name="[cars_datasets_2025].[cars_prices].&amp;[1.7595E4]"/>
        <member name="[cars_datasets_2025].[cars_prices].&amp;[1.8215E5]"/>
        <member name="[cars_datasets_2025].[cars_prices].&amp;[1.9344E5]"/>
        <member name="[cars_datasets_2025].[cars_prices].&amp;[2.1995E4]"/>
        <member name="[cars_datasets_2025].[cars_prices].&amp;[2.5329E5]"/>
        <member name="[cars_datasets_2025].[cars_prices].&amp;[2.7495E4]"/>
        <member name="[cars_datasets_2025].[cars_prices].&amp;[2.8345E4]"/>
        <member name="[cars_datasets_2025].[cars_prices].&amp;[2.8505E4]"/>
        <member name="[cars_datasets_2025].[cars_prices].&amp;[2.8795E4]"/>
        <member name="[cars_datasets_2025].[cars_prices].&amp;[2.9135E4]"/>
        <member name="[cars_datasets_2025].[cars_prices].&amp;[2.9365E4]"/>
        <member name="[cars_datasets_2025].[cars_prices].&amp;[3.0695E4]"/>
        <member name="[cars_datasets_2025].[cars_prices].&amp;[3.1965E4]"/>
        <member name="[cars_datasets_2025].[cars_prices].&amp;[3.4395E4]"/>
        <member name="[cars_datasets_2025].[cars_prices].&amp;[3.5195E4]"/>
        <member name="[cars_datasets_2025].[cars_prices].&amp;[3.5915E4]"/>
        <member name="[cars_datasets_2025].[cars_prices].&amp;[3.6995E4]"/>
        <member name="[cars_datasets_2025].[cars_prices].&amp;[3.7695E4]"/>
        <member name="[cars_datasets_2025].[cars_prices].&amp;[3.8195E4]"/>
        <member name="[cars_datasets_2025].[cars_prices].&amp;[3.8775E4]"/>
        <member name="[cars_datasets_2025].[cars_prices].&amp;[3.9735E4]"/>
        <member name="[cars_datasets_2025].[cars_prices].&amp;[4.0799E4]"/>
        <member name="[cars_datasets_2025].[cars_prices].&amp;[4.1295E4]"/>
        <member name="[cars_datasets_2025].[cars_prices].&amp;[4.2795E4]"/>
        <member name="[cars_datasets_2025].[cars_prices].&amp;[4.3455E4]"/>
        <member name="[cars_datasets_2025].[cars_prices].&amp;[4.4195E4]"/>
        <member name="[cars_datasets_2025].[cars_prices].&amp;[4.5795E4]"/>
        <member name="[cars_datasets_2025].[cars_prices].&amp;[4.6595E4]"/>
        <member name="[cars_datasets_2025].[cars_prices].&amp;[4.8295E4]"/>
        <member name="[cars_datasets_2025].[cars_prices].&amp;[4.8595E4]"/>
        <member name="[cars_datasets_2025].[cars_prices].&amp;[5.0695E4]"/>
        <member name="[cars_datasets_2025].[cars_prices].&amp;[5.0895E4]"/>
        <member name="[cars_datasets_2025].[cars_prices].&amp;[5.0995E4]"/>
        <member name="[cars_datasets_2025].[cars_prices].&amp;[5.1095E4]"/>
        <member name="[cars_datasets_2025].[cars_prices].&amp;[5.5895E4]"/>
        <member name="[cars_datasets_2025].[cars_prices].&amp;[5.6505E4]"/>
        <member name="[cars_datasets_2025].[cars_prices].&amp;[5.6995E4]"/>
        <member name="[cars_datasets_2025].[cars_prices].&amp;[5.7095E4]"/>
        <member name="[cars_datasets_2025].[cars_prices].&amp;[5.9865E4]"/>
        <member name="[cars_datasets_2025].[cars_prices].&amp;[5.9995E4]"/>
        <member name="[cars_datasets_2025].[cars_prices].&amp;[6.0495E4]"/>
        <member name="[cars_datasets_2025].[cars_prices].&amp;[6.1595E4]"/>
        <member name="[cars_datasets_2025].[cars_prices].&amp;[6.1625E4]"/>
        <member name="[cars_datasets_2025].[cars_prices].&amp;[6.2495E4]"/>
        <member name="[cars_datasets_2025].[cars_prices].&amp;[6.3595E4]"/>
        <member name="[cars_datasets_2025].[cars_prices].&amp;[6.4695E4]"/>
        <member name="[cars_datasets_2025].[cars_prices].&amp;[6.5895E4]"/>
        <member name="[cars_datasets_2025].[cars_prices].&amp;[6.6575E4]"/>
        <member name="[cars_datasets_2025].[cars_prices].&amp;[7.1505E4]"/>
        <member name="[cars_datasets_2025].[cars_prices].&amp;[7.3305E4]"/>
        <member name="[cars_datasets_2025].[cars_prices].&amp;[7.6805E4]"/>
        <member name="[cars_datasets_2025].[cars_prices].&amp;[7.9295E4]"/>
        <member name="[cars_datasets_2025].[cars_prices].&amp;[8.2295E4]"/>
        <member name="[cars_datasets_2025].[cars_prices].&amp;[8.2495E4]"/>
        <member name="[cars_datasets_2025].[cars_prices].&amp;[9.1495E4]"/>
        <member name="[cars_datasets_2025].[cars_prices].&amp;[1.04595E5]"/>
      </members>
    </pivotHierarchy>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price"/>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top="0" val="10" filterVal="10"/>
        </filterColumn>
      </autoFilter>
    </filter>
  </filters>
  <rowHierarchiesUsage count="2">
    <rowHierarchyUsage hierarchyUsage="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DDE5644-7A14-4377-934A-02F6154B00B5}" name="carCountFuelType" cacheId="4" applyNumberFormats="0" applyBorderFormats="0" applyFontFormats="0" applyPatternFormats="0" applyAlignmentFormats="0" applyWidthHeightFormats="1" dataCaption="Values" tag="bb4b8d12-b718-4ccf-811e-b79a512ab1d5" updatedVersion="8" minRefreshableVersion="3" useAutoFormatting="1" subtotalHiddenItems="1" rowGrandTotals="0" colGrandTotals="0" itemPrintTitles="1" createdVersion="5" indent="0" outline="1" outlineData="1" multipleFieldFilters="0" chartFormat="44" rowHeaderCaption="fuel type">
  <location ref="AE1:AF6" firstHeaderRow="1" firstDataRow="1" firstDataCol="1"/>
  <pivotFields count="4">
    <pivotField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5">
    <i>
      <x/>
    </i>
    <i>
      <x v="1"/>
    </i>
    <i>
      <x v="2"/>
    </i>
    <i>
      <x v="3"/>
    </i>
    <i>
      <x v="4"/>
    </i>
  </rowItems>
  <colItems count="1">
    <i/>
  </colItems>
  <dataFields count="1">
    <dataField name="car count" fld="1" subtotal="count" baseField="0" baseItem="10"/>
  </dataFields>
  <chartFormats count="12">
    <chartFormat chart="14" format="3"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 chart="17" format="19" series="1">
      <pivotArea type="data" outline="0" fieldPosition="0">
        <references count="1">
          <reference field="4294967294" count="1" selected="0">
            <x v="0"/>
          </reference>
        </references>
      </pivotArea>
    </chartFormat>
    <chartFormat chart="18" format="34" series="1">
      <pivotArea type="data" outline="0" fieldPosition="0">
        <references count="1">
          <reference field="4294967294" count="1" selected="0">
            <x v="0"/>
          </reference>
        </references>
      </pivotArea>
    </chartFormat>
    <chartFormat chart="30" format="110"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0"/>
          </reference>
        </references>
      </pivotArea>
    </chartFormat>
    <chartFormat chart="30" format="9" series="1">
      <pivotArea type="data" outline="0" fieldPosition="0">
        <references count="1">
          <reference field="4294967294" count="1" selected="0">
            <x v="0"/>
          </reference>
        </references>
      </pivotArea>
    </chartFormat>
    <chartFormat chart="30" format="125">
      <pivotArea type="data" outline="0" fieldPosition="0">
        <references count="2">
          <reference field="4294967294" count="1" selected="0">
            <x v="0"/>
          </reference>
          <reference field="2" count="1" selected="0">
            <x v="0"/>
          </reference>
        </references>
      </pivotArea>
    </chartFormat>
    <chartFormat chart="30" format="126">
      <pivotArea type="data" outline="0" fieldPosition="0">
        <references count="2">
          <reference field="4294967294" count="1" selected="0">
            <x v="0"/>
          </reference>
          <reference field="2" count="1" selected="0">
            <x v="1"/>
          </reference>
        </references>
      </pivotArea>
    </chartFormat>
    <chartFormat chart="30" format="127">
      <pivotArea type="data" outline="0" fieldPosition="0">
        <references count="2">
          <reference field="4294967294" count="1" selected="0">
            <x v="0"/>
          </reference>
          <reference field="2" count="1" selected="0">
            <x v="2"/>
          </reference>
        </references>
      </pivotArea>
    </chartFormat>
    <chartFormat chart="30" format="128">
      <pivotArea type="data" outline="0" fieldPosition="0">
        <references count="2">
          <reference field="4294967294" count="1" selected="0">
            <x v="0"/>
          </reference>
          <reference field="2" count="1" selected="0">
            <x v="3"/>
          </reference>
        </references>
      </pivotArea>
    </chartFormat>
    <chartFormat chart="30" format="129">
      <pivotArea type="data" outline="0" fieldPosition="0">
        <references count="2">
          <reference field="4294967294" count="1" selected="0">
            <x v="0"/>
          </reference>
          <reference field="2" count="1" selected="0">
            <x v="4"/>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ar count"/>
    <pivotHierarchy dragToData="1" caption="car count"/>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055D30C-70C6-4E01-A44D-A3A6974E7851}" name="priceSegment" cacheId="5" applyNumberFormats="0" applyBorderFormats="0" applyFontFormats="0" applyPatternFormats="0" applyAlignmentFormats="0" applyWidthHeightFormats="1" dataCaption="Values" tag="e21d3930-90a3-43ef-94a6-072d034b7271" updatedVersion="8" minRefreshableVersion="3" useAutoFormatting="1" subtotalHiddenItems="1" rowGrandTotals="0" colGrandTotals="0" itemPrintTitles="1" createdVersion="5" indent="0" showHeaders="0" outline="1" outlineData="1" multipleFieldFilters="0" chartFormat="17" rowHeaderCaption="" colHeaderCaption="">
  <location ref="J1:Q33" firstHeaderRow="1" firstDataRow="2" firstDataCol="1"/>
  <pivotFields count="3">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xis="axisCol" allDrilled="1" subtotalTop="0" showAll="0" defaultSubtotal="0" defaultAttributeDrillState="1">
      <items count="7">
        <item x="6"/>
        <item x="1"/>
        <item x="4"/>
        <item x="3"/>
        <item x="2"/>
        <item x="5"/>
        <item x="0"/>
      </items>
    </pivotField>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rowItems>
  <colFields count="1">
    <field x="1"/>
  </colFields>
  <colItems count="7">
    <i>
      <x/>
    </i>
    <i>
      <x v="1"/>
    </i>
    <i>
      <x v="2"/>
    </i>
    <i>
      <x v="3"/>
    </i>
    <i>
      <x v="4"/>
    </i>
    <i>
      <x v="5"/>
    </i>
    <i>
      <x v="6"/>
    </i>
  </colItems>
  <dataFields count="1">
    <dataField name="car name" fld="2" subtotal="count" baseField="0" baseItem="0"/>
  </dataFields>
  <formats count="12">
    <format>
      <pivotArea type="all" dataOnly="0" outline="0" fieldPosition="0"/>
    </format>
    <format>
      <pivotArea outline="0" collapsedLevelsAreSubtotals="1" fieldPosition="0"/>
    </format>
    <format>
      <pivotArea type="origin" dataOnly="0" labelOnly="1" outline="0" fieldPosition="0"/>
    </format>
    <format>
      <pivotArea dataOnly="0" labelOnly="1" fieldPosition="0">
        <references count="1">
          <reference field="0" count="0"/>
        </references>
      </pivotArea>
    </format>
    <format>
      <pivotArea type="all" dataOnly="0" outline="0" fieldPosition="0"/>
    </format>
    <format>
      <pivotArea outline="0" collapsedLevelsAreSubtotals="1" fieldPosition="0"/>
    </format>
    <format>
      <pivotArea type="origin" dataOnly="0" labelOnly="1" outline="0" fieldPosition="0"/>
    </format>
    <format>
      <pivotArea dataOnly="0" labelOnly="1" fieldPosition="0">
        <references count="1">
          <reference field="0" count="0"/>
        </references>
      </pivotArea>
    </format>
    <format>
      <pivotArea field="0" type="button" dataOnly="0" labelOnly="1" outline="0" axis="axisRow" fieldPosition="0"/>
    </format>
    <format>
      <pivotArea field="1" type="button" dataOnly="0" labelOnly="1" outline="0" axis="axisCol" fieldPosition="0"/>
    </format>
    <format>
      <pivotArea type="topRight" dataOnly="0" labelOnly="1" outline="0" fieldPosition="0"/>
    </format>
    <format>
      <pivotArea dataOnly="0" labelOnly="1" fieldPosition="0">
        <references count="1">
          <reference field="1" count="0"/>
        </references>
      </pivotArea>
    </format>
  </formats>
  <chartFormats count="32">
    <chartFormat chart="0" format="0" series="1">
      <pivotArea type="data" outline="0" fieldPosition="0">
        <references count="2">
          <reference field="4294967294" count="1" selected="0">
            <x v="0"/>
          </reference>
          <reference field="1" count="1" selected="0">
            <x v="1"/>
          </reference>
        </references>
      </pivotArea>
    </chartFormat>
    <chartFormat chart="0" format="1" series="1">
      <pivotArea type="data" outline="0" fieldPosition="0">
        <references count="2">
          <reference field="4294967294" count="1" selected="0">
            <x v="0"/>
          </reference>
          <reference field="1" count="1" selected="0">
            <x v="4"/>
          </reference>
        </references>
      </pivotArea>
    </chartFormat>
    <chartFormat chart="0" format="2" series="1">
      <pivotArea type="data" outline="0" fieldPosition="0">
        <references count="2">
          <reference field="4294967294" count="1" selected="0">
            <x v="0"/>
          </reference>
          <reference field="1" count="1" selected="0">
            <x v="3"/>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5"/>
          </reference>
        </references>
      </pivotArea>
    </chartFormat>
    <chartFormat chart="0" format="5" series="1">
      <pivotArea type="data" outline="0" fieldPosition="0">
        <references count="2">
          <reference field="4294967294" count="1" selected="0">
            <x v="0"/>
          </reference>
          <reference field="1" count="1" selected="0">
            <x v="0"/>
          </reference>
        </references>
      </pivotArea>
    </chartFormat>
    <chartFormat chart="6" format="12" series="1">
      <pivotArea type="data" outline="0" fieldPosition="0">
        <references count="2">
          <reference field="4294967294" count="1" selected="0">
            <x v="0"/>
          </reference>
          <reference field="1" count="1" selected="0">
            <x v="0"/>
          </reference>
        </references>
      </pivotArea>
    </chartFormat>
    <chartFormat chart="6" format="13" series="1">
      <pivotArea type="data" outline="0" fieldPosition="0">
        <references count="2">
          <reference field="4294967294" count="1" selected="0">
            <x v="0"/>
          </reference>
          <reference field="1" count="1" selected="0">
            <x v="1"/>
          </reference>
        </references>
      </pivotArea>
    </chartFormat>
    <chartFormat chart="6" format="14" series="1">
      <pivotArea type="data" outline="0" fieldPosition="0">
        <references count="2">
          <reference field="4294967294" count="1" selected="0">
            <x v="0"/>
          </reference>
          <reference field="1" count="1" selected="0">
            <x v="2"/>
          </reference>
        </references>
      </pivotArea>
    </chartFormat>
    <chartFormat chart="6" format="15" series="1">
      <pivotArea type="data" outline="0" fieldPosition="0">
        <references count="2">
          <reference field="4294967294" count="1" selected="0">
            <x v="0"/>
          </reference>
          <reference field="1" count="1" selected="0">
            <x v="3"/>
          </reference>
        </references>
      </pivotArea>
    </chartFormat>
    <chartFormat chart="6" format="16" series="1">
      <pivotArea type="data" outline="0" fieldPosition="0">
        <references count="2">
          <reference field="4294967294" count="1" selected="0">
            <x v="0"/>
          </reference>
          <reference field="1" count="1" selected="0">
            <x v="4"/>
          </reference>
        </references>
      </pivotArea>
    </chartFormat>
    <chartFormat chart="6" format="17" series="1">
      <pivotArea type="data" outline="0" fieldPosition="0">
        <references count="2">
          <reference field="4294967294" count="1" selected="0">
            <x v="0"/>
          </reference>
          <reference field="1" count="1" selected="0">
            <x v="5"/>
          </reference>
        </references>
      </pivotArea>
    </chartFormat>
    <chartFormat chart="6" format="18" series="1">
      <pivotArea type="data" outline="0" fieldPosition="0">
        <references count="2">
          <reference field="4294967294" count="1" selected="0">
            <x v="0"/>
          </reference>
          <reference field="1" count="1" selected="0">
            <x v="1048832"/>
          </reference>
        </references>
      </pivotArea>
    </chartFormat>
    <chartFormat chart="6" format="19" series="1">
      <pivotArea type="data" outline="0" fieldPosition="0">
        <references count="1">
          <reference field="4294967294" count="1" selected="0">
            <x v="0"/>
          </reference>
        </references>
      </pivotArea>
    </chartFormat>
    <chartFormat chart="13" format="20" series="1">
      <pivotArea type="data" outline="0" fieldPosition="0">
        <references count="2">
          <reference field="4294967294" count="1" selected="0">
            <x v="0"/>
          </reference>
          <reference field="1" count="1" selected="0">
            <x v="0"/>
          </reference>
        </references>
      </pivotArea>
    </chartFormat>
    <chartFormat chart="13" format="21" series="1">
      <pivotArea type="data" outline="0" fieldPosition="0">
        <references count="2">
          <reference field="4294967294" count="1" selected="0">
            <x v="0"/>
          </reference>
          <reference field="1" count="1" selected="0">
            <x v="1"/>
          </reference>
        </references>
      </pivotArea>
    </chartFormat>
    <chartFormat chart="13" format="22" series="1">
      <pivotArea type="data" outline="0" fieldPosition="0">
        <references count="2">
          <reference field="4294967294" count="1" selected="0">
            <x v="0"/>
          </reference>
          <reference field="1" count="1" selected="0">
            <x v="2"/>
          </reference>
        </references>
      </pivotArea>
    </chartFormat>
    <chartFormat chart="13" format="23" series="1">
      <pivotArea type="data" outline="0" fieldPosition="0">
        <references count="2">
          <reference field="4294967294" count="1" selected="0">
            <x v="0"/>
          </reference>
          <reference field="1" count="1" selected="0">
            <x v="3"/>
          </reference>
        </references>
      </pivotArea>
    </chartFormat>
    <chartFormat chart="13" format="24" series="1">
      <pivotArea type="data" outline="0" fieldPosition="0">
        <references count="2">
          <reference field="4294967294" count="1" selected="0">
            <x v="0"/>
          </reference>
          <reference field="1" count="1" selected="0">
            <x v="4"/>
          </reference>
        </references>
      </pivotArea>
    </chartFormat>
    <chartFormat chart="13" format="25" series="1">
      <pivotArea type="data" outline="0" fieldPosition="0">
        <references count="2">
          <reference field="4294967294" count="1" selected="0">
            <x v="0"/>
          </reference>
          <reference field="1" count="1" selected="0">
            <x v="5"/>
          </reference>
        </references>
      </pivotArea>
    </chartFormat>
    <chartFormat chart="13" format="26" series="1">
      <pivotArea type="data" outline="0" fieldPosition="0">
        <references count="2">
          <reference field="4294967294" count="1" selected="0">
            <x v="0"/>
          </reference>
          <reference field="1" count="1" selected="0">
            <x v="1048832"/>
          </reference>
        </references>
      </pivotArea>
    </chartFormat>
    <chartFormat chart="14" format="27" series="1">
      <pivotArea type="data" outline="0" fieldPosition="0">
        <references count="2">
          <reference field="4294967294" count="1" selected="0">
            <x v="0"/>
          </reference>
          <reference field="1" count="1" selected="0">
            <x v="0"/>
          </reference>
        </references>
      </pivotArea>
    </chartFormat>
    <chartFormat chart="14" format="28" series="1">
      <pivotArea type="data" outline="0" fieldPosition="0">
        <references count="2">
          <reference field="4294967294" count="1" selected="0">
            <x v="0"/>
          </reference>
          <reference field="1" count="1" selected="0">
            <x v="1"/>
          </reference>
        </references>
      </pivotArea>
    </chartFormat>
    <chartFormat chart="14" format="29" series="1">
      <pivotArea type="data" outline="0" fieldPosition="0">
        <references count="2">
          <reference field="4294967294" count="1" selected="0">
            <x v="0"/>
          </reference>
          <reference field="1" count="1" selected="0">
            <x v="2"/>
          </reference>
        </references>
      </pivotArea>
    </chartFormat>
    <chartFormat chart="14" format="30" series="1">
      <pivotArea type="data" outline="0" fieldPosition="0">
        <references count="2">
          <reference field="4294967294" count="1" selected="0">
            <x v="0"/>
          </reference>
          <reference field="1" count="1" selected="0">
            <x v="3"/>
          </reference>
        </references>
      </pivotArea>
    </chartFormat>
    <chartFormat chart="14" format="31" series="1">
      <pivotArea type="data" outline="0" fieldPosition="0">
        <references count="2">
          <reference field="4294967294" count="1" selected="0">
            <x v="0"/>
          </reference>
          <reference field="1" count="1" selected="0">
            <x v="4"/>
          </reference>
        </references>
      </pivotArea>
    </chartFormat>
    <chartFormat chart="14" format="32" series="1">
      <pivotArea type="data" outline="0" fieldPosition="0">
        <references count="2">
          <reference field="4294967294" count="1" selected="0">
            <x v="0"/>
          </reference>
          <reference field="1" count="1" selected="0">
            <x v="5"/>
          </reference>
        </references>
      </pivotArea>
    </chartFormat>
    <chartFormat chart="14" format="33" series="1">
      <pivotArea type="data" outline="0" fieldPosition="0">
        <references count="2">
          <reference field="4294967294" count="1" selected="0">
            <x v="0"/>
          </reference>
          <reference field="1" count="1" selected="0">
            <x v="1048832"/>
          </reference>
        </references>
      </pivotArea>
    </chartFormat>
    <chartFormat chart="14" format="34" series="1">
      <pivotArea type="data" outline="0" fieldPosition="0">
        <references count="1">
          <reference field="4294967294" count="1" selected="0">
            <x v="0"/>
          </reference>
        </references>
      </pivotArea>
    </chartFormat>
    <chartFormat chart="14" format="35" series="1">
      <pivotArea type="data" outline="0" fieldPosition="0">
        <references count="2">
          <reference field="4294967294" count="1" selected="0">
            <x v="0"/>
          </reference>
          <reference field="1" count="1" selected="0">
            <x v="6"/>
          </reference>
        </references>
      </pivotArea>
    </chartFormat>
    <chartFormat chart="14" format="36">
      <pivotArea type="data" outline="0" fieldPosition="0">
        <references count="3">
          <reference field="4294967294" count="1" selected="0">
            <x v="0"/>
          </reference>
          <reference field="0" count="1" selected="0">
            <x v="19"/>
          </reference>
          <reference field="1" count="1" selected="0">
            <x v="6"/>
          </reference>
        </references>
      </pivotArea>
    </chartFormat>
    <chartFormat chart="14" format="37">
      <pivotArea type="data" outline="0" fieldPosition="0">
        <references count="3">
          <reference field="4294967294" count="1" selected="0">
            <x v="0"/>
          </reference>
          <reference field="0" count="1" selected="0">
            <x v="28"/>
          </reference>
          <reference field="1" count="1" selected="0">
            <x v="6"/>
          </reference>
        </references>
      </pivotArea>
    </chartFormat>
  </chart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ar nam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639C0E6-0469-4C0A-A0CD-3FDB5FAB54A3}" name="avgPriceFuelType" cacheId="2" applyNumberFormats="0" applyBorderFormats="0" applyFontFormats="0" applyPatternFormats="0" applyAlignmentFormats="0" applyWidthHeightFormats="1" dataCaption="Values" tag="7788b854-5957-4693-8567-205158354023" updatedVersion="8" minRefreshableVersion="3" useAutoFormatting="1" subtotalHiddenItems="1" rowGrandTotals="0" colGrandTotals="0" itemPrintTitles="1" createdVersion="5" indent="0" outline="1" outlineData="1" multipleFieldFilters="0" rowHeaderCaption="fuel type">
  <location ref="AH1:AI15" firstHeaderRow="1" firstDataRow="1" firstDataCol="1"/>
  <pivotFields count="3">
    <pivotField axis="axisRow" allDrilled="1" subtotalTop="0" showAll="0" sortType="descending" defaultSubtotal="0" defaultAttributeDrillState="1">
      <items count="14">
        <item x="0"/>
        <item x="1"/>
        <item x="2"/>
        <item x="3"/>
        <item x="4"/>
        <item x="5"/>
        <item x="6"/>
        <item x="7"/>
        <item x="8"/>
        <item x="9"/>
        <item x="10"/>
        <item x="11"/>
        <item x="12"/>
        <item x="1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4">
    <i>
      <x v="13"/>
    </i>
    <i>
      <x v="10"/>
    </i>
    <i>
      <x v="7"/>
    </i>
    <i>
      <x v="11"/>
    </i>
    <i>
      <x v="4"/>
    </i>
    <i>
      <x v="3"/>
    </i>
    <i>
      <x v="9"/>
    </i>
    <i>
      <x v="8"/>
    </i>
    <i>
      <x v="12"/>
    </i>
    <i>
      <x v="2"/>
    </i>
    <i>
      <x/>
    </i>
    <i>
      <x v="6"/>
    </i>
    <i>
      <x v="5"/>
    </i>
    <i>
      <x v="1"/>
    </i>
  </rowItems>
  <colItems count="1">
    <i/>
  </colItems>
  <dataFields count="1">
    <dataField name="AVG car prices" fld="1" subtotal="average" baseField="0" baseItem="13"/>
  </dataFields>
  <formats count="1">
    <format>
      <pivotArea outline="0" collapsedLevelsAreSubtotals="1" fieldPosition="0"/>
    </format>
  </format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car pri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48A051A-F076-4D66-BABE-08E33C112DE5}" name="cars count" cacheId="13" applyNumberFormats="0" applyBorderFormats="0" applyFontFormats="0" applyPatternFormats="0" applyAlignmentFormats="0" applyWidthHeightFormats="1" dataCaption="Values" tag="866c714e-01e4-499a-9ab1-e077c5dbd6ed" updatedVersion="8" minRefreshableVersion="3" useAutoFormatting="1" subtotalHiddenItems="1" itemPrintTitles="1" createdVersion="5" indent="0" outline="1" outlineData="1" multipleFieldFilters="0">
  <location ref="BB1:BB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5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rs_datasets_2025]"/>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Category" xr10:uid="{3B9D5A87-139A-4738-8AC1-126AF209940E}" sourceName="[cars_datasets_2025].[CarCategory]">
  <pivotTables>
    <pivotTable tabId="1" name="categoryCompany"/>
    <pivotTable tabId="1" name="averageCarPrices"/>
    <pivotTable tabId="1" name="avgPriceFuelType"/>
    <pivotTable tabId="1" name="bottom10cars"/>
    <pivotTable tabId="1" name="carCountFuelType"/>
    <pivotTable tabId="1" name="priceSegment"/>
    <pivotTable tabId="1" name="seatCatCompany"/>
    <pivotTable tabId="1" name="top10cars"/>
    <pivotTable tabId="1" name="Top10FastestAcceleratingCars"/>
    <pivotTable tabId="1" name="top10speed "/>
    <pivotTable tabId="1" name="% Petrol"/>
    <pivotTable tabId="1" name="avg hourse power"/>
    <pivotTable tabId="1" name="avg performance"/>
    <pivotTable tabId="1" name="total prices"/>
  </pivotTables>
  <data>
    <olap pivotCacheId="529714913">
      <levels count="2">
        <level uniqueName="[cars_datasets_2025].[CarCategory].[(All)]" sourceCaption="(All)" count="0"/>
        <level uniqueName="[cars_datasets_2025].[CarCategory].[CarCategory]" sourceCaption="CarCategory" count="6">
          <ranges>
            <range startItem="0">
              <i n="[cars_datasets_2025].[CarCategory].&amp;[Economic Compact]" c="Economic Compact"/>
              <i n="[cars_datasets_2025].[CarCategory].&amp;[Family Utility]" c="Family Utility"/>
              <i n="[cars_datasets_2025].[CarCategory].&amp;[Green Tech]" c="Green Tech"/>
              <i n="[cars_datasets_2025].[CarCategory].&amp;[Luxury Performance]" c="Luxury Performance"/>
              <i n="[cars_datasets_2025].[CarCategory].&amp;[Other]" c="Other"/>
              <i n="[cars_datasets_2025].[CarCategory].&amp;[Sports Car]" c="Sports Car"/>
            </range>
          </ranges>
        </level>
      </levels>
      <selections count="1">
        <selection n="[cars_datasets_2025].[Car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ceSegment" xr10:uid="{7AE22271-2AE6-4203-B9BB-1C7B995B0D2B}" sourceName="[cars_datasets_2025].[PriceSegment]">
  <pivotTables>
    <pivotTable tabId="1" name="categoryCompany"/>
    <pivotTable tabId="1" name="averageCarPrices"/>
    <pivotTable tabId="1" name="avgPriceFuelType"/>
    <pivotTable tabId="1" name="bottom10cars"/>
    <pivotTable tabId="1" name="carCountFuelType"/>
    <pivotTable tabId="1" name="priceSegment"/>
    <pivotTable tabId="1" name="seatCatCompany"/>
    <pivotTable tabId="1" name="top10cars"/>
    <pivotTable tabId="1" name="Top10FastestAcceleratingCars"/>
    <pivotTable tabId="1" name="top10speed "/>
    <pivotTable tabId="1" name="avg hourse power"/>
    <pivotTable tabId="1" name="avg performance"/>
    <pivotTable tabId="1" name="cars count"/>
    <pivotTable tabId="1" name="total prices"/>
  </pivotTables>
  <data>
    <olap pivotCacheId="529714913">
      <levels count="2">
        <level uniqueName="[cars_datasets_2025].[PriceSegment].[(All)]" sourceCaption="(All)" count="0"/>
        <level uniqueName="[cars_datasets_2025].[PriceSegment].[PriceSegment]" sourceCaption="PriceSegment" count="7">
          <ranges>
            <range startItem="0">
              <i n="[cars_datasets_2025].[PriceSegment].&amp;" c="(blank)"/>
              <i n="[cars_datasets_2025].[PriceSegment].&amp;[Economy]" c="Economy"/>
              <i n="[cars_datasets_2025].[PriceSegment].&amp;[Luxury]" c="Luxury"/>
              <i n="[cars_datasets_2025].[PriceSegment].&amp;[Premium]" c="Premium"/>
              <i n="[cars_datasets_2025].[PriceSegment].&amp;[Regular]" c="Regular"/>
              <i n="[cars_datasets_2025].[PriceSegment].&amp;[Super Luxury]" c="Super Luxury"/>
              <i n="[cars_datasets_2025].[PriceSegment].&amp;[Ultra Economy]" c="Ultra Economy"/>
            </range>
          </ranges>
        </level>
      </levels>
      <selections count="1">
        <selection n="[cars_datasets_2025].[Price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tCategory" xr10:uid="{308AFFFD-6273-40E2-8558-BC7E8E15A09D}" sourceName="[cars_datasets_2025].[SeatCategory]">
  <pivotTables>
    <pivotTable tabId="1" name="categoryCompany"/>
    <pivotTable tabId="1" name="averageCarPrices"/>
    <pivotTable tabId="1" name="avgPriceFuelType"/>
    <pivotTable tabId="1" name="bottom10cars"/>
    <pivotTable tabId="1" name="carCountFuelType"/>
    <pivotTable tabId="1" name="priceSegment"/>
    <pivotTable tabId="1" name="seatCatCompany"/>
    <pivotTable tabId="1" name="top10cars"/>
    <pivotTable tabId="1" name="Top10FastestAcceleratingCars"/>
    <pivotTable tabId="1" name="top10speed "/>
    <pivotTable tabId="1" name="% Petrol"/>
    <pivotTable tabId="1" name="avg hourse power"/>
    <pivotTable tabId="1" name="avg performance"/>
    <pivotTable tabId="1" name="cars count"/>
    <pivotTable tabId="1" name="total prices"/>
  </pivotTables>
  <data>
    <olap pivotCacheId="529714913">
      <levels count="2">
        <level uniqueName="[cars_datasets_2025].[SeatCategory].[(All)]" sourceCaption="(All)" count="0"/>
        <level uniqueName="[cars_datasets_2025].[SeatCategory].[SeatCategory]" sourceCaption="SeatCategory" count="4">
          <ranges>
            <range startItem="0">
              <i n="[cars_datasets_2025].[SeatCategory].&amp;[Compact]" c="Compact"/>
              <i n="[cars_datasets_2025].[SeatCategory].&amp;[Family]" c="Family"/>
              <i n="[cars_datasets_2025].[SeatCategory].&amp;[Small]" c="Small"/>
              <i n="[cars_datasets_2025].[SeatCategory].&amp;[Van/Bus]" c="Van/Bus"/>
            </range>
          </ranges>
        </level>
      </levels>
      <selections count="1">
        <selection n="[cars_datasets_2025].[SeatCategory].[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pany_names" xr10:uid="{36D9AA77-AF39-415D-8BD2-DD91E8CF67DB}" sourceName="[cars_datasets_2025].[company_names]">
  <pivotTables>
    <pivotTable tabId="1" name="categoryCompany"/>
    <pivotTable tabId="1" name="averageCarPrices"/>
    <pivotTable tabId="1" name="avgPriceFuelType"/>
    <pivotTable tabId="1" name="bottom10cars"/>
    <pivotTable tabId="1" name="carCountFuelType"/>
    <pivotTable tabId="1" name="priceSegment"/>
    <pivotTable tabId="1" name="seatCatCompany"/>
    <pivotTable tabId="1" name="top10cars"/>
    <pivotTable tabId="1" name="Top10FastestAcceleratingCars"/>
    <pivotTable tabId="1" name="top10speed "/>
    <pivotTable tabId="1" name="% Petrol"/>
    <pivotTable tabId="1" name="avg hourse power"/>
    <pivotTable tabId="1" name="avg performance"/>
    <pivotTable tabId="1" name="cars count"/>
    <pivotTable tabId="1" name="total prices"/>
  </pivotTables>
  <data>
    <olap pivotCacheId="529714913">
      <levels count="2">
        <level uniqueName="[cars_datasets_2025].[company_names].[(All)]" sourceCaption="(All)" count="0"/>
        <level uniqueName="[cars_datasets_2025].[company_names].[company_names]" sourceCaption="company_names" count="31">
          <ranges>
            <range startItem="0">
              <i n="[cars_datasets_2025].[company_names].&amp;[acura]" c="acura"/>
              <i n="[cars_datasets_2025].[company_names].&amp;[aston martin]" c="aston martin"/>
              <i n="[cars_datasets_2025].[company_names].&amp;[audi]" c="audi"/>
              <i n="[cars_datasets_2025].[company_names].&amp;[bentley]" c="bentley"/>
              <i n="[cars_datasets_2025].[company_names].&amp;[bmw]" c="bmw"/>
              <i n="[cars_datasets_2025].[company_names].&amp;[bugatti]" c="bugatti"/>
              <i n="[cars_datasets_2025].[company_names].&amp;[cadillac]" c="cadillac"/>
              <i n="[cars_datasets_2025].[company_names].&amp;[chevrolet]" c="chevrolet"/>
              <i n="[cars_datasets_2025].[company_names].&amp;[ferrari]" c="ferrari"/>
              <i n="[cars_datasets_2025].[company_names].&amp;[ford]" c="ford"/>
              <i n="[cars_datasets_2025].[company_names].&amp;[gmc]" c="gmc"/>
              <i n="[cars_datasets_2025].[company_names].&amp;[honda]" c="honda"/>
              <i n="[cars_datasets_2025].[company_names].&amp;[hyundai]" c="hyundai"/>
              <i n="[cars_datasets_2025].[company_names].&amp;[jaguar land rover]" c="jaguar land rover"/>
              <i n="[cars_datasets_2025].[company_names].&amp;[jeep]" c="jeep"/>
              <i n="[cars_datasets_2025].[company_names].&amp;[kia]" c="kia"/>
              <i n="[cars_datasets_2025].[company_names].&amp;[lamborghini]" c="lamborghini"/>
              <i n="[cars_datasets_2025].[company_names].&amp;[mahindra]" c="mahindra"/>
              <i n="[cars_datasets_2025].[company_names].&amp;[maruti suzuki]" c="maruti suzuki"/>
              <i n="[cars_datasets_2025].[company_names].&amp;[mazda]" c="mazda"/>
              <i n="[cars_datasets_2025].[company_names].&amp;[mercedes]" c="mercedes"/>
              <i n="[cars_datasets_2025].[company_names].&amp;[mitsubishi]" c="mitsubishi"/>
              <i n="[cars_datasets_2025].[company_names].&amp;[nissan]" c="nissan"/>
              <i n="[cars_datasets_2025].[company_names].&amp;[peugeot]" c="peugeot"/>
              <i n="[cars_datasets_2025].[company_names].&amp;[porsche]" c="porsche"/>
              <i n="[cars_datasets_2025].[company_names].&amp;[rolls royce]" c="rolls royce"/>
              <i n="[cars_datasets_2025].[company_names].&amp;[tata motors]" c="tata motors"/>
              <i n="[cars_datasets_2025].[company_names].&amp;[tesla]" c="tesla"/>
              <i n="[cars_datasets_2025].[company_names].&amp;[toyota]" c="toyota"/>
              <i n="[cars_datasets_2025].[company_names].&amp;[volkswagen]" c="volkswagen"/>
              <i n="[cars_datasets_2025].[company_names].&amp;[volvo]" c="volvo"/>
            </range>
          </ranges>
        </level>
      </levels>
      <selections count="1">
        <selection n="[cars_datasets_2025].[company_name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rCategory" xr10:uid="{64660C40-440A-448D-B989-8125EEB5DF04}" cache="Slicer_CarCategory" caption="CarCategory" level="1" style="Slicer Style 1" rowHeight="257175"/>
  <slicer name="PriceSegment" xr10:uid="{C5A45A8C-3514-432A-A511-057BA51DA626}" cache="Slicer_PriceSegment" caption="PriceSegment" level="1" style="Slicer Style 1" rowHeight="257175"/>
  <slicer name="SeatCategory" xr10:uid="{2B0BCBDC-0EAC-40B5-B969-5D28CA9ED0DF}" cache="Slicer_SeatCategory" caption="SeatCategory" columnCount="2" level="1" style="Slicer Style 1" rowHeight="257175"/>
  <slicer name="company_names" xr10:uid="{920D2257-2892-419A-919D-65669871C969}" cache="Slicer_company_names" caption="company" level="1"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9372487-4CB7-4701-BE8B-3E21F8264A21}" name="AvgPriceHorsepowerByCompany" displayName="AvgPriceHorsepowerByCompany" ref="S1:U32" totalsRowShown="0">
  <autoFilter ref="S1:U32" xr:uid="{A9372487-4CB7-4701-BE8B-3E21F8264A21}"/>
  <tableColumns count="3">
    <tableColumn id="1" xr3:uid="{C1A1F264-E376-4F4A-851B-53A6FAC210BB}" name="Row Labels"/>
    <tableColumn id="2" xr3:uid="{3FDABD71-C9E1-4786-9CA8-F324E6A94354}" name="AVG price"/>
    <tableColumn id="3" xr3:uid="{2FF2E029-8BD1-437A-86BC-E866C09BEA82}" name="AVG hourse power"/>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5805837-EEAA-4129-96E5-DCA6A6F15375}" name="top10speed" displayName="top10speed" ref="P9:R10" totalsRowShown="0" headerRowDxfId="10" dataDxfId="9">
  <sortState xmlns:xlrd2="http://schemas.microsoft.com/office/spreadsheetml/2017/richdata2" ref="P10:R19">
    <sortCondition ref="P10:P19"/>
  </sortState>
  <tableColumns count="3">
    <tableColumn id="2" xr3:uid="{9E27DDD7-4F45-4D3A-9481-E3B2DF86D701}" name="company" dataDxfId="8">
      <calculatedColumnFormula>piv.tables!AB2</calculatedColumnFormula>
    </tableColumn>
    <tableColumn id="1" xr3:uid="{9AC7D0BE-021F-45D2-AED5-DDECA503E7D6}" name="car" dataDxfId="7">
      <calculatedColumnFormula>piv.tables!AA2</calculatedColumnFormula>
    </tableColumn>
    <tableColumn id="3" xr3:uid="{BFCA9D2F-8BB4-4BF1-8BE0-DBC972C56AAB}" name="AVG speed" dataDxfId="6">
      <calculatedColumnFormula>piv.tables!AC2</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A71B70-BB0C-4E2E-A2AC-DDD297B08DCB}" name="Top10FastestAcceleratingCars" displayName="Top10FastestAcceleratingCars" ref="T9:V10" totalsRowShown="0" headerRowDxfId="5" dataDxfId="3" headerRowBorderDxfId="4">
  <sortState xmlns:xlrd2="http://schemas.microsoft.com/office/spreadsheetml/2017/richdata2" ref="T10:V19">
    <sortCondition ref="T10:T19"/>
  </sortState>
  <tableColumns count="3">
    <tableColumn id="2" xr3:uid="{3E77422F-6DC7-431C-A170-81E97E0C66BF}" name="company" dataDxfId="2">
      <calculatedColumnFormula>piv.tables!X4</calculatedColumnFormula>
    </tableColumn>
    <tableColumn id="1" xr3:uid="{04DD5FED-714F-4626-9664-752D00CD4625}" name="car" dataDxfId="1">
      <calculatedColumnFormula>piv.tables!W4</calculatedColumnFormula>
    </tableColumn>
    <tableColumn id="3" xr3:uid="{1AC2C298-5A70-4AB5-AFD0-9110B4CA3B80}" name="Acc" dataDxfId="0">
      <calculatedColumnFormula>piv.tables!Y4</calculatedColumnFormula>
    </tableColumn>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table" Target="../tables/table1.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microsoft.com/office/2007/relationships/slicer" Target="../slicers/slicer1.xml"/><Relationship Id="rId4" Type="http://schemas.openxmlformats.org/officeDocument/2006/relationships/table" Target="../tables/table3.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5D041-EF47-4BBE-9BCE-1AB769BF4D95}">
  <dimension ref="A1:BF33"/>
  <sheetViews>
    <sheetView topLeftCell="AR1" zoomScaleNormal="100" workbookViewId="0">
      <selection activeCell="J9" sqref="J9"/>
    </sheetView>
  </sheetViews>
  <sheetFormatPr defaultRowHeight="15" x14ac:dyDescent="0.25"/>
  <cols>
    <col min="1" max="1" width="19.5703125" bestFit="1" customWidth="1"/>
    <col min="2" max="2" width="9" bestFit="1" customWidth="1"/>
    <col min="3" max="3" width="9.85546875" customWidth="1"/>
    <col min="4" max="4" width="15.140625" bestFit="1" customWidth="1"/>
    <col min="5" max="5" width="17.28515625" bestFit="1" customWidth="1"/>
    <col min="6" max="6" width="6.42578125" customWidth="1"/>
    <col min="7" max="7" width="16.140625" bestFit="1" customWidth="1"/>
    <col min="8" max="8" width="14.28515625" bestFit="1" customWidth="1"/>
    <col min="9" max="9" width="9.85546875" customWidth="1"/>
    <col min="10" max="10" width="16.140625" bestFit="1" customWidth="1"/>
    <col min="11" max="11" width="14.140625" bestFit="1" customWidth="1"/>
    <col min="12" max="12" width="9.28515625" bestFit="1" customWidth="1"/>
    <col min="13" max="13" width="7.85546875" bestFit="1" customWidth="1"/>
    <col min="14" max="14" width="9.140625" bestFit="1" customWidth="1"/>
    <col min="15" max="15" width="7" bestFit="1" customWidth="1"/>
    <col min="16" max="16" width="12.7109375" bestFit="1" customWidth="1"/>
    <col min="17" max="17" width="7.28515625" bestFit="1" customWidth="1"/>
    <col min="18" max="18" width="7.28515625" customWidth="1"/>
    <col min="19" max="19" width="16.140625" bestFit="1" customWidth="1"/>
    <col min="20" max="20" width="23.140625" customWidth="1"/>
    <col min="21" max="21" width="24.5703125" customWidth="1"/>
    <col min="22" max="22" width="11.28515625" customWidth="1"/>
    <col min="23" max="23" width="11.28515625" bestFit="1" customWidth="1"/>
    <col min="24" max="24" width="18.42578125" bestFit="1" customWidth="1"/>
    <col min="25" max="25" width="39" bestFit="1" customWidth="1"/>
    <col min="26" max="26" width="8.140625" customWidth="1"/>
    <col min="27" max="27" width="34" bestFit="1" customWidth="1"/>
    <col min="28" max="28" width="18.42578125" bestFit="1" customWidth="1"/>
    <col min="29" max="29" width="10.7109375" bestFit="1" customWidth="1"/>
    <col min="30" max="30" width="7.5703125" bestFit="1" customWidth="1"/>
    <col min="31" max="31" width="11.28515625" bestFit="1" customWidth="1"/>
    <col min="32" max="32" width="9.28515625" bestFit="1" customWidth="1"/>
    <col min="33" max="33" width="6.5703125" bestFit="1" customWidth="1"/>
    <col min="34" max="34" width="18.7109375" bestFit="1" customWidth="1"/>
    <col min="35" max="35" width="14" bestFit="1" customWidth="1"/>
    <col min="36" max="37" width="6.5703125" bestFit="1" customWidth="1"/>
    <col min="38" max="38" width="16.140625" bestFit="1" customWidth="1"/>
    <col min="39" max="39" width="15.42578125" bestFit="1" customWidth="1"/>
    <col min="40" max="40" width="6" bestFit="1" customWidth="1"/>
    <col min="41" max="41" width="6.85546875" bestFit="1" customWidth="1"/>
    <col min="42" max="42" width="8.28515625" bestFit="1" customWidth="1"/>
    <col min="43" max="43" width="11.28515625" bestFit="1" customWidth="1"/>
    <col min="44" max="44" width="5.5703125" bestFit="1" customWidth="1"/>
    <col min="45" max="45" width="4.5703125" bestFit="1" customWidth="1"/>
    <col min="46" max="46" width="16.140625" bestFit="1" customWidth="1"/>
    <col min="47" max="47" width="18.7109375" bestFit="1" customWidth="1"/>
    <col min="48" max="48" width="12.7109375" bestFit="1" customWidth="1"/>
    <col min="49" max="49" width="11.28515625" bestFit="1" customWidth="1"/>
    <col min="50" max="50" width="19.28515625" bestFit="1" customWidth="1"/>
    <col min="51" max="51" width="10.42578125" bestFit="1" customWidth="1"/>
    <col min="52" max="52" width="6.140625" bestFit="1" customWidth="1"/>
    <col min="53" max="53" width="11.28515625" bestFit="1" customWidth="1"/>
    <col min="54" max="54" width="10.28515625" bestFit="1" customWidth="1"/>
    <col min="55" max="55" width="12.140625" bestFit="1" customWidth="1"/>
    <col min="56" max="56" width="16.140625" bestFit="1" customWidth="1"/>
    <col min="57" max="57" width="16.85546875" bestFit="1" customWidth="1"/>
    <col min="58" max="58" width="8.42578125" bestFit="1" customWidth="1"/>
    <col min="59" max="59" width="11.28515625" bestFit="1" customWidth="1"/>
    <col min="60" max="60" width="5.42578125" bestFit="1" customWidth="1"/>
    <col min="61" max="61" width="6.7109375" bestFit="1" customWidth="1"/>
    <col min="62" max="62" width="11.42578125" bestFit="1" customWidth="1"/>
    <col min="63" max="63" width="5.85546875" bestFit="1" customWidth="1"/>
    <col min="64" max="64" width="11.28515625" bestFit="1" customWidth="1"/>
    <col min="65" max="65" width="6.5703125" bestFit="1" customWidth="1"/>
    <col min="66" max="66" width="7.5703125" bestFit="1" customWidth="1"/>
    <col min="67" max="69" width="6.5703125" bestFit="1" customWidth="1"/>
    <col min="70" max="70" width="7.5703125" bestFit="1" customWidth="1"/>
    <col min="71" max="72" width="6.5703125" bestFit="1" customWidth="1"/>
    <col min="73" max="75" width="7.5703125" bestFit="1" customWidth="1"/>
    <col min="76" max="76" width="6.5703125" bestFit="1" customWidth="1"/>
    <col min="77" max="79" width="7.5703125" bestFit="1" customWidth="1"/>
    <col min="80" max="80" width="6.5703125" bestFit="1" customWidth="1"/>
    <col min="81" max="81" width="7.5703125" bestFit="1" customWidth="1"/>
    <col min="82" max="82" width="6.5703125" bestFit="1" customWidth="1"/>
    <col min="83" max="83" width="7.5703125" bestFit="1" customWidth="1"/>
    <col min="84" max="84" width="6.5703125" bestFit="1" customWidth="1"/>
    <col min="85" max="86" width="7.5703125" bestFit="1" customWidth="1"/>
    <col min="87" max="87" width="6.5703125" bestFit="1" customWidth="1"/>
    <col min="88" max="88" width="9.140625" bestFit="1" customWidth="1"/>
    <col min="89" max="90" width="7.5703125" bestFit="1" customWidth="1"/>
    <col min="91" max="91" width="6.5703125" bestFit="1" customWidth="1"/>
    <col min="92" max="92" width="7.5703125" bestFit="1" customWidth="1"/>
    <col min="93" max="93" width="6.5703125" bestFit="1" customWidth="1"/>
    <col min="94" max="94" width="7.5703125" bestFit="1" customWidth="1"/>
    <col min="95" max="95" width="6.5703125" bestFit="1" customWidth="1"/>
    <col min="96" max="96" width="7.5703125" bestFit="1" customWidth="1"/>
    <col min="97" max="104" width="6.5703125" bestFit="1" customWidth="1"/>
    <col min="105" max="105" width="7.5703125" bestFit="1" customWidth="1"/>
    <col min="106" max="106" width="6.5703125" bestFit="1" customWidth="1"/>
    <col min="107" max="107" width="7.5703125" bestFit="1" customWidth="1"/>
    <col min="108" max="108" width="6.5703125" bestFit="1" customWidth="1"/>
    <col min="109" max="109" width="7.5703125" bestFit="1" customWidth="1"/>
    <col min="110" max="110" width="6.5703125" bestFit="1" customWidth="1"/>
    <col min="111" max="113" width="7.5703125" bestFit="1" customWidth="1"/>
    <col min="114" max="114" width="6.5703125" bestFit="1" customWidth="1"/>
    <col min="115" max="115" width="7.5703125" bestFit="1" customWidth="1"/>
    <col min="116" max="116" width="6.5703125" bestFit="1" customWidth="1"/>
    <col min="117" max="119" width="7.5703125" bestFit="1" customWidth="1"/>
    <col min="120" max="123" width="6.5703125" bestFit="1" customWidth="1"/>
    <col min="124" max="125" width="7.5703125" bestFit="1" customWidth="1"/>
    <col min="126" max="126" width="6.5703125" bestFit="1" customWidth="1"/>
    <col min="127" max="127" width="7.5703125" bestFit="1" customWidth="1"/>
    <col min="128" max="131" width="6.5703125" bestFit="1" customWidth="1"/>
    <col min="132" max="132" width="7.5703125" bestFit="1" customWidth="1"/>
    <col min="133" max="133" width="6.5703125" bestFit="1" customWidth="1"/>
    <col min="134" max="134" width="7.5703125" bestFit="1" customWidth="1"/>
    <col min="135" max="137" width="6.5703125" bestFit="1" customWidth="1"/>
    <col min="138" max="144" width="7.5703125" bestFit="1" customWidth="1"/>
    <col min="145" max="145" width="6.5703125" bestFit="1" customWidth="1"/>
    <col min="146" max="147" width="7.5703125" bestFit="1" customWidth="1"/>
    <col min="148" max="149" width="6.5703125" bestFit="1" customWidth="1"/>
    <col min="150" max="150" width="7.5703125" bestFit="1" customWidth="1"/>
    <col min="151" max="151" width="6.5703125" bestFit="1" customWidth="1"/>
    <col min="152" max="156" width="7.5703125" bestFit="1" customWidth="1"/>
    <col min="157" max="159" width="6.5703125" bestFit="1" customWidth="1"/>
    <col min="160" max="160" width="7.5703125" bestFit="1" customWidth="1"/>
    <col min="161" max="161" width="6.5703125" bestFit="1" customWidth="1"/>
    <col min="162" max="162" width="7.5703125" bestFit="1" customWidth="1"/>
    <col min="163" max="164" width="6.5703125" bestFit="1" customWidth="1"/>
    <col min="165" max="165" width="7.5703125" bestFit="1" customWidth="1"/>
    <col min="166" max="166" width="6.5703125" bestFit="1" customWidth="1"/>
    <col min="167" max="167" width="7.5703125" bestFit="1" customWidth="1"/>
    <col min="168" max="168" width="6.5703125" bestFit="1" customWidth="1"/>
    <col min="169" max="169" width="7.5703125" bestFit="1" customWidth="1"/>
    <col min="170" max="170" width="6.5703125" bestFit="1" customWidth="1"/>
    <col min="171" max="172" width="7.5703125" bestFit="1" customWidth="1"/>
    <col min="173" max="175" width="6.5703125" bestFit="1" customWidth="1"/>
    <col min="176" max="177" width="7.5703125" bestFit="1" customWidth="1"/>
    <col min="178" max="178" width="6.5703125" bestFit="1" customWidth="1"/>
    <col min="179" max="180" width="7.5703125" bestFit="1" customWidth="1"/>
    <col min="181" max="181" width="6.5703125" bestFit="1" customWidth="1"/>
    <col min="182" max="182" width="7.5703125" bestFit="1" customWidth="1"/>
    <col min="183" max="183" width="6.5703125" bestFit="1" customWidth="1"/>
    <col min="184" max="184" width="7.5703125" bestFit="1" customWidth="1"/>
    <col min="185" max="185" width="9.140625" bestFit="1" customWidth="1"/>
    <col min="186" max="186" width="6.5703125" bestFit="1" customWidth="1"/>
    <col min="187" max="188" width="7.5703125" bestFit="1" customWidth="1"/>
    <col min="189" max="189" width="6.5703125" bestFit="1" customWidth="1"/>
    <col min="190" max="190" width="7.5703125" bestFit="1" customWidth="1"/>
    <col min="191" max="191" width="9.140625" bestFit="1" customWidth="1"/>
    <col min="192" max="193" width="6.5703125" bestFit="1" customWidth="1"/>
    <col min="194" max="196" width="7.5703125" bestFit="1" customWidth="1"/>
    <col min="197" max="198" width="6.5703125" bestFit="1" customWidth="1"/>
    <col min="199" max="199" width="7.5703125" bestFit="1" customWidth="1"/>
    <col min="200" max="200" width="6.5703125" bestFit="1" customWidth="1"/>
    <col min="201" max="201" width="7.5703125" bestFit="1" customWidth="1"/>
    <col min="202" max="202" width="9.140625" bestFit="1" customWidth="1"/>
    <col min="203" max="204" width="6.5703125" bestFit="1" customWidth="1"/>
    <col min="205" max="206" width="7.5703125" bestFit="1" customWidth="1"/>
    <col min="207" max="207" width="9.140625" bestFit="1" customWidth="1"/>
    <col min="208" max="208" width="6.5703125" bestFit="1" customWidth="1"/>
    <col min="209" max="210" width="7.5703125" bestFit="1" customWidth="1"/>
    <col min="211" max="211" width="6.5703125" bestFit="1" customWidth="1"/>
    <col min="212" max="217" width="7.5703125" bestFit="1" customWidth="1"/>
    <col min="218" max="219" width="6.5703125" bestFit="1" customWidth="1"/>
    <col min="220" max="220" width="7.5703125" bestFit="1" customWidth="1"/>
    <col min="221" max="221" width="6.5703125" bestFit="1" customWidth="1"/>
    <col min="222" max="222" width="7.5703125" bestFit="1" customWidth="1"/>
    <col min="223" max="224" width="6.5703125" bestFit="1" customWidth="1"/>
    <col min="225" max="225" width="9.140625" bestFit="1" customWidth="1"/>
    <col min="226" max="229" width="7.5703125" bestFit="1" customWidth="1"/>
    <col min="230" max="230" width="6.5703125" bestFit="1" customWidth="1"/>
    <col min="231" max="231" width="9.140625" bestFit="1" customWidth="1"/>
    <col min="232" max="232" width="6.5703125" bestFit="1" customWidth="1"/>
    <col min="233" max="235" width="7.5703125" bestFit="1" customWidth="1"/>
    <col min="236" max="236" width="6.5703125" bestFit="1" customWidth="1"/>
    <col min="237" max="238" width="7.5703125" bestFit="1" customWidth="1"/>
    <col min="239" max="239" width="6.5703125" bestFit="1" customWidth="1"/>
    <col min="240" max="241" width="7.5703125" bestFit="1" customWidth="1"/>
    <col min="242" max="242" width="6.5703125" bestFit="1" customWidth="1"/>
    <col min="243" max="244" width="7.5703125" bestFit="1" customWidth="1"/>
    <col min="245" max="245" width="6.5703125" bestFit="1" customWidth="1"/>
    <col min="246" max="247" width="7.5703125" bestFit="1" customWidth="1"/>
    <col min="248" max="251" width="6.5703125" bestFit="1" customWidth="1"/>
    <col min="252" max="252" width="9.140625" bestFit="1" customWidth="1"/>
    <col min="253" max="253" width="7.5703125" bestFit="1" customWidth="1"/>
    <col min="254" max="254" width="6.5703125" bestFit="1" customWidth="1"/>
    <col min="255" max="257" width="7.5703125" bestFit="1" customWidth="1"/>
    <col min="258" max="258" width="9.140625" bestFit="1" customWidth="1"/>
    <col min="259" max="267" width="7.5703125" bestFit="1" customWidth="1"/>
    <col min="268" max="268" width="6.5703125" bestFit="1" customWidth="1"/>
    <col min="269" max="269" width="7.5703125" bestFit="1" customWidth="1"/>
    <col min="270" max="270" width="9.140625" bestFit="1" customWidth="1"/>
    <col min="271" max="272" width="7.5703125" bestFit="1" customWidth="1"/>
    <col min="273" max="273" width="9.140625" bestFit="1" customWidth="1"/>
    <col min="274" max="274" width="7.5703125" bestFit="1" customWidth="1"/>
    <col min="275" max="275" width="9.140625" bestFit="1" customWidth="1"/>
    <col min="276" max="279" width="7.5703125" bestFit="1" customWidth="1"/>
    <col min="280" max="280" width="6.5703125" bestFit="1" customWidth="1"/>
    <col min="281" max="282" width="7.5703125" bestFit="1" customWidth="1"/>
    <col min="283" max="283" width="9.140625" bestFit="1" customWidth="1"/>
    <col min="284" max="284" width="7.5703125" bestFit="1" customWidth="1"/>
    <col min="285" max="285" width="9.140625" bestFit="1" customWidth="1"/>
    <col min="286" max="288" width="7.5703125" bestFit="1" customWidth="1"/>
    <col min="289" max="289" width="9.140625" bestFit="1" customWidth="1"/>
    <col min="290" max="291" width="7.5703125" bestFit="1" customWidth="1"/>
    <col min="292" max="293" width="9.140625" bestFit="1" customWidth="1"/>
    <col min="294" max="297" width="7.5703125" bestFit="1" customWidth="1"/>
    <col min="298" max="298" width="9.140625" bestFit="1" customWidth="1"/>
    <col min="299" max="299" width="7.5703125" bestFit="1" customWidth="1"/>
    <col min="300" max="300" width="6.5703125" bestFit="1" customWidth="1"/>
    <col min="301" max="302" width="7.5703125" bestFit="1" customWidth="1"/>
    <col min="303" max="303" width="6.5703125" bestFit="1" customWidth="1"/>
    <col min="304" max="307" width="7.5703125" bestFit="1" customWidth="1"/>
    <col min="308" max="309" width="9.140625" bestFit="1" customWidth="1"/>
    <col min="310" max="310" width="7.5703125" bestFit="1" customWidth="1"/>
    <col min="311" max="311" width="9.140625" bestFit="1" customWidth="1"/>
    <col min="312" max="313" width="7.5703125" bestFit="1" customWidth="1"/>
    <col min="314" max="314" width="9.140625" bestFit="1" customWidth="1"/>
    <col min="315" max="316" width="7.5703125" bestFit="1" customWidth="1"/>
    <col min="317" max="317" width="9.140625" bestFit="1" customWidth="1"/>
    <col min="318" max="318" width="6.5703125" bestFit="1" customWidth="1"/>
    <col min="319" max="320" width="9.140625" bestFit="1" customWidth="1"/>
    <col min="321" max="321" width="6.5703125" bestFit="1" customWidth="1"/>
    <col min="322" max="322" width="9.140625" bestFit="1" customWidth="1"/>
    <col min="323" max="323" width="7.5703125" bestFit="1" customWidth="1"/>
    <col min="324" max="326" width="9.140625" bestFit="1" customWidth="1"/>
    <col min="327" max="327" width="7.5703125" bestFit="1" customWidth="1"/>
    <col min="328" max="328" width="9.140625" bestFit="1" customWidth="1"/>
    <col min="329" max="329" width="7.5703125" bestFit="1" customWidth="1"/>
    <col min="330" max="331" width="10.140625" bestFit="1" customWidth="1"/>
    <col min="332" max="332" width="9.140625" bestFit="1" customWidth="1"/>
    <col min="333" max="333" width="11.28515625" bestFit="1" customWidth="1"/>
  </cols>
  <sheetData>
    <row r="1" spans="1:58" ht="20.25" customHeight="1" x14ac:dyDescent="0.25">
      <c r="A1" s="1" t="s">
        <v>38</v>
      </c>
      <c r="B1" t="s">
        <v>37</v>
      </c>
      <c r="D1" s="1" t="s">
        <v>5</v>
      </c>
      <c r="E1" t="s" vm="1">
        <v>6</v>
      </c>
      <c r="G1" s="1" t="s">
        <v>39</v>
      </c>
      <c r="H1" t="s">
        <v>40</v>
      </c>
      <c r="J1" s="1" t="s">
        <v>38</v>
      </c>
      <c r="S1" t="s">
        <v>0</v>
      </c>
      <c r="T1" t="s">
        <v>41</v>
      </c>
      <c r="U1" t="s">
        <v>42</v>
      </c>
      <c r="W1" s="1" t="s">
        <v>43</v>
      </c>
      <c r="X1" t="s" vm="2">
        <v>6</v>
      </c>
      <c r="AA1" s="1" t="s">
        <v>51</v>
      </c>
      <c r="AB1" s="1" t="s">
        <v>52</v>
      </c>
      <c r="AC1" t="s">
        <v>44</v>
      </c>
      <c r="AE1" s="1" t="s">
        <v>46</v>
      </c>
      <c r="AF1" t="s">
        <v>45</v>
      </c>
      <c r="AH1" s="1" t="s">
        <v>46</v>
      </c>
      <c r="AI1" t="s">
        <v>47</v>
      </c>
      <c r="AL1" s="1" t="s">
        <v>45</v>
      </c>
      <c r="AM1" s="1" t="s">
        <v>48</v>
      </c>
      <c r="AT1" s="1" t="s">
        <v>49</v>
      </c>
      <c r="AU1" s="1" t="s">
        <v>50</v>
      </c>
      <c r="BB1" t="s">
        <v>119</v>
      </c>
      <c r="BC1" t="s">
        <v>122</v>
      </c>
      <c r="BD1" t="s">
        <v>118</v>
      </c>
      <c r="BE1" t="s">
        <v>120</v>
      </c>
      <c r="BF1" t="s">
        <v>121</v>
      </c>
    </row>
    <row r="2" spans="1:58" x14ac:dyDescent="0.25">
      <c r="A2" s="2" t="s">
        <v>97</v>
      </c>
      <c r="G2" s="2" t="s">
        <v>1</v>
      </c>
      <c r="H2" s="3">
        <v>5870000</v>
      </c>
      <c r="K2" t="s">
        <v>84</v>
      </c>
      <c r="L2" t="s">
        <v>85</v>
      </c>
      <c r="M2" t="s">
        <v>64</v>
      </c>
      <c r="N2" t="s">
        <v>59</v>
      </c>
      <c r="O2" t="s">
        <v>34</v>
      </c>
      <c r="P2" t="s">
        <v>96</v>
      </c>
      <c r="Q2" t="s">
        <v>124</v>
      </c>
      <c r="S2" t="s">
        <v>1</v>
      </c>
      <c r="T2">
        <v>5870000</v>
      </c>
      <c r="U2">
        <v>1565</v>
      </c>
      <c r="AA2" t="s">
        <v>111</v>
      </c>
      <c r="AB2" t="s">
        <v>28</v>
      </c>
      <c r="AC2">
        <v>293</v>
      </c>
      <c r="AE2" s="2" t="s">
        <v>63</v>
      </c>
      <c r="AF2">
        <v>145</v>
      </c>
      <c r="AH2" s="2" t="s">
        <v>61</v>
      </c>
      <c r="AI2" s="3">
        <v>176200</v>
      </c>
      <c r="AL2" s="1" t="s">
        <v>39</v>
      </c>
      <c r="AM2" t="s">
        <v>36</v>
      </c>
      <c r="AN2" t="s">
        <v>92</v>
      </c>
      <c r="AO2" t="s">
        <v>60</v>
      </c>
      <c r="AP2" t="s">
        <v>93</v>
      </c>
      <c r="AT2" s="1" t="s">
        <v>39</v>
      </c>
      <c r="AU2" t="s">
        <v>65</v>
      </c>
      <c r="AV2" t="s">
        <v>66</v>
      </c>
      <c r="AW2" t="s">
        <v>67</v>
      </c>
      <c r="AX2" t="s">
        <v>94</v>
      </c>
      <c r="AY2" t="s">
        <v>95</v>
      </c>
      <c r="AZ2" t="s">
        <v>68</v>
      </c>
      <c r="BB2">
        <v>1348</v>
      </c>
      <c r="BC2" s="5">
        <v>172614729</v>
      </c>
      <c r="BD2" s="6">
        <v>7.6595380029806259</v>
      </c>
      <c r="BE2" s="7">
        <v>296.12249443207128</v>
      </c>
      <c r="BF2" s="8">
        <v>0.72181008902077148</v>
      </c>
    </row>
    <row r="3" spans="1:58" x14ac:dyDescent="0.25">
      <c r="A3" s="4" t="s">
        <v>1</v>
      </c>
      <c r="B3">
        <v>3300000</v>
      </c>
      <c r="D3" s="1" t="s">
        <v>38</v>
      </c>
      <c r="E3" t="s">
        <v>37</v>
      </c>
      <c r="G3" s="2" t="s">
        <v>8</v>
      </c>
      <c r="H3" s="3">
        <v>752949.09090909094</v>
      </c>
      <c r="J3" s="2" t="s">
        <v>7</v>
      </c>
      <c r="M3">
        <v>9</v>
      </c>
      <c r="N3">
        <v>14</v>
      </c>
      <c r="O3">
        <v>4</v>
      </c>
      <c r="S3" t="s">
        <v>8</v>
      </c>
      <c r="T3">
        <v>752949.09090909094</v>
      </c>
      <c r="U3">
        <v>701.09090909090912</v>
      </c>
      <c r="W3" s="1" t="s">
        <v>51</v>
      </c>
      <c r="X3" s="1" t="s">
        <v>52</v>
      </c>
      <c r="Y3" t="s">
        <v>54</v>
      </c>
      <c r="AA3" t="s">
        <v>112</v>
      </c>
      <c r="AB3" t="s">
        <v>28</v>
      </c>
      <c r="AC3">
        <v>289</v>
      </c>
      <c r="AE3" s="2" t="s">
        <v>58</v>
      </c>
      <c r="AF3">
        <v>103</v>
      </c>
      <c r="AH3" s="2" t="s">
        <v>57</v>
      </c>
      <c r="AI3" s="3">
        <v>148404.2846865365</v>
      </c>
      <c r="AL3" s="2" t="s">
        <v>7</v>
      </c>
      <c r="AM3">
        <v>4</v>
      </c>
      <c r="AO3">
        <v>23</v>
      </c>
      <c r="AT3" s="2" t="s">
        <v>7</v>
      </c>
      <c r="AX3">
        <v>3</v>
      </c>
      <c r="AY3">
        <v>4</v>
      </c>
      <c r="AZ3">
        <v>20</v>
      </c>
    </row>
    <row r="4" spans="1:58" x14ac:dyDescent="0.25">
      <c r="A4" s="2" t="s">
        <v>98</v>
      </c>
      <c r="D4" s="2" t="s">
        <v>77</v>
      </c>
      <c r="G4" s="2" t="s">
        <v>3</v>
      </c>
      <c r="H4" s="3">
        <v>650083.33333333337</v>
      </c>
      <c r="J4" s="2" t="s">
        <v>8</v>
      </c>
      <c r="O4">
        <v>7</v>
      </c>
      <c r="P4">
        <v>4</v>
      </c>
      <c r="S4" t="s">
        <v>3</v>
      </c>
      <c r="T4">
        <v>650083.33333333337</v>
      </c>
      <c r="U4">
        <v>691.54166666666663</v>
      </c>
      <c r="W4" t="s">
        <v>107</v>
      </c>
      <c r="X4" t="s">
        <v>30</v>
      </c>
      <c r="Y4">
        <v>1.9</v>
      </c>
      <c r="AA4" t="s">
        <v>113</v>
      </c>
      <c r="AB4" t="s">
        <v>28</v>
      </c>
      <c r="AC4">
        <v>272</v>
      </c>
      <c r="AE4" s="2" t="s">
        <v>35</v>
      </c>
      <c r="AF4">
        <v>103</v>
      </c>
      <c r="AH4" s="2" t="s">
        <v>35</v>
      </c>
      <c r="AI4" s="3">
        <v>125352.33980582525</v>
      </c>
      <c r="AL4" s="2" t="s">
        <v>8</v>
      </c>
      <c r="AM4">
        <v>7</v>
      </c>
      <c r="AN4">
        <v>3</v>
      </c>
      <c r="AO4">
        <v>1</v>
      </c>
      <c r="AT4" s="2" t="s">
        <v>8</v>
      </c>
      <c r="AX4">
        <v>3</v>
      </c>
      <c r="AY4">
        <v>8</v>
      </c>
    </row>
    <row r="5" spans="1:58" x14ac:dyDescent="0.25">
      <c r="A5" s="4" t="s">
        <v>1</v>
      </c>
      <c r="B5">
        <v>3300000</v>
      </c>
      <c r="D5" s="4" t="s">
        <v>4</v>
      </c>
      <c r="E5" s="3">
        <v>9200</v>
      </c>
      <c r="G5" s="2" t="s">
        <v>14</v>
      </c>
      <c r="H5" s="3">
        <v>512222.22222222225</v>
      </c>
      <c r="J5" s="2" t="s">
        <v>9</v>
      </c>
      <c r="M5">
        <v>5</v>
      </c>
      <c r="N5">
        <v>10</v>
      </c>
      <c r="O5">
        <v>6</v>
      </c>
      <c r="S5" t="s">
        <v>14</v>
      </c>
      <c r="T5">
        <v>512222.22222222225</v>
      </c>
      <c r="U5">
        <v>709.88888888888891</v>
      </c>
      <c r="W5" t="s">
        <v>108</v>
      </c>
      <c r="X5" t="s">
        <v>30</v>
      </c>
      <c r="Y5">
        <v>2.1</v>
      </c>
      <c r="AA5" t="s">
        <v>114</v>
      </c>
      <c r="AB5" t="s">
        <v>28</v>
      </c>
      <c r="AC5">
        <v>267.5</v>
      </c>
      <c r="AE5" s="2" t="s">
        <v>125</v>
      </c>
      <c r="AF5">
        <v>24</v>
      </c>
      <c r="AH5" s="2" t="s">
        <v>62</v>
      </c>
      <c r="AI5" s="3">
        <v>118998.2</v>
      </c>
      <c r="AL5" s="2" t="s">
        <v>9</v>
      </c>
      <c r="AM5">
        <v>3</v>
      </c>
      <c r="AN5">
        <v>2</v>
      </c>
      <c r="AO5">
        <v>16</v>
      </c>
      <c r="AT5" s="2" t="s">
        <v>9</v>
      </c>
      <c r="AX5">
        <v>12</v>
      </c>
      <c r="AY5">
        <v>4</v>
      </c>
      <c r="AZ5">
        <v>5</v>
      </c>
    </row>
    <row r="6" spans="1:58" x14ac:dyDescent="0.25">
      <c r="A6" s="2" t="s">
        <v>99</v>
      </c>
      <c r="D6" s="2" t="s">
        <v>89</v>
      </c>
      <c r="G6" s="2" t="s">
        <v>29</v>
      </c>
      <c r="H6" s="3">
        <v>390400</v>
      </c>
      <c r="J6" s="2" t="s">
        <v>10</v>
      </c>
      <c r="O6">
        <v>1</v>
      </c>
      <c r="S6" t="s">
        <v>29</v>
      </c>
      <c r="T6">
        <v>390400</v>
      </c>
      <c r="U6">
        <v>584</v>
      </c>
      <c r="W6" t="s">
        <v>100</v>
      </c>
      <c r="X6" t="s">
        <v>1</v>
      </c>
      <c r="Y6">
        <v>2.2000000000000002</v>
      </c>
      <c r="AA6" t="s">
        <v>115</v>
      </c>
      <c r="AB6" t="s">
        <v>19</v>
      </c>
      <c r="AC6">
        <v>260</v>
      </c>
      <c r="AE6" s="2" t="s">
        <v>57</v>
      </c>
      <c r="AF6">
        <v>973</v>
      </c>
      <c r="AH6" s="2" t="s">
        <v>58</v>
      </c>
      <c r="AI6" s="3">
        <v>66849.902912621357</v>
      </c>
      <c r="AL6" s="2" t="s">
        <v>10</v>
      </c>
      <c r="AN6">
        <v>1</v>
      </c>
      <c r="AT6" s="2" t="s">
        <v>10</v>
      </c>
      <c r="AX6">
        <v>1</v>
      </c>
    </row>
    <row r="7" spans="1:58" x14ac:dyDescent="0.25">
      <c r="A7" s="4" t="s">
        <v>1</v>
      </c>
      <c r="B7">
        <v>3500000</v>
      </c>
      <c r="D7" s="4" t="s">
        <v>2</v>
      </c>
      <c r="E7" s="3">
        <v>9000</v>
      </c>
      <c r="G7" s="2" t="s">
        <v>10</v>
      </c>
      <c r="H7" s="3">
        <v>311000</v>
      </c>
      <c r="J7" s="2" t="s">
        <v>11</v>
      </c>
      <c r="M7">
        <v>27</v>
      </c>
      <c r="N7">
        <v>7</v>
      </c>
      <c r="O7">
        <v>7</v>
      </c>
      <c r="S7" t="s">
        <v>10</v>
      </c>
      <c r="T7">
        <v>311000</v>
      </c>
      <c r="U7">
        <v>550</v>
      </c>
      <c r="W7" t="s">
        <v>97</v>
      </c>
      <c r="X7" t="s">
        <v>1</v>
      </c>
      <c r="Y7">
        <v>2.2999999999999998</v>
      </c>
      <c r="AA7" t="s">
        <v>116</v>
      </c>
      <c r="AB7" t="s">
        <v>28</v>
      </c>
      <c r="AC7">
        <v>259</v>
      </c>
      <c r="AH7" s="2" t="s">
        <v>69</v>
      </c>
      <c r="AI7" s="3">
        <v>55000</v>
      </c>
      <c r="AL7" s="2" t="s">
        <v>11</v>
      </c>
      <c r="AM7">
        <v>2</v>
      </c>
      <c r="AN7">
        <v>5</v>
      </c>
      <c r="AO7">
        <v>34</v>
      </c>
      <c r="AT7" s="2" t="s">
        <v>11</v>
      </c>
      <c r="AX7">
        <v>5</v>
      </c>
      <c r="AY7">
        <v>8</v>
      </c>
      <c r="AZ7">
        <v>28</v>
      </c>
    </row>
    <row r="8" spans="1:58" x14ac:dyDescent="0.25">
      <c r="A8" s="2" t="s">
        <v>100</v>
      </c>
      <c r="D8" s="2" t="s">
        <v>90</v>
      </c>
      <c r="G8" s="2" t="s">
        <v>28</v>
      </c>
      <c r="H8" s="3">
        <v>138389.58333333334</v>
      </c>
      <c r="J8" s="2" t="s">
        <v>1</v>
      </c>
      <c r="P8">
        <v>10</v>
      </c>
      <c r="S8" t="s">
        <v>28</v>
      </c>
      <c r="T8">
        <v>138389.58333333334</v>
      </c>
      <c r="U8">
        <v>463.26041666666669</v>
      </c>
      <c r="W8" t="s">
        <v>99</v>
      </c>
      <c r="X8" t="s">
        <v>1</v>
      </c>
      <c r="Y8">
        <v>2.4</v>
      </c>
      <c r="AA8" t="s">
        <v>117</v>
      </c>
      <c r="AB8" t="s">
        <v>27</v>
      </c>
      <c r="AC8">
        <v>250</v>
      </c>
      <c r="AH8" s="2" t="s">
        <v>70</v>
      </c>
      <c r="AI8" s="3">
        <v>46633.333333333336</v>
      </c>
      <c r="AL8" s="2" t="s">
        <v>1</v>
      </c>
      <c r="AM8">
        <v>10</v>
      </c>
      <c r="AT8" s="2" t="s">
        <v>1</v>
      </c>
      <c r="AY8">
        <v>10</v>
      </c>
    </row>
    <row r="9" spans="1:58" x14ac:dyDescent="0.25">
      <c r="A9" s="4" t="s">
        <v>1</v>
      </c>
      <c r="B9">
        <v>4500000</v>
      </c>
      <c r="D9" s="4" t="s">
        <v>2</v>
      </c>
      <c r="E9" s="3">
        <v>9000</v>
      </c>
      <c r="G9" s="2" t="s">
        <v>2</v>
      </c>
      <c r="H9" s="3">
        <v>90594.344444444447</v>
      </c>
      <c r="J9" s="2" t="s">
        <v>12</v>
      </c>
      <c r="M9">
        <v>8</v>
      </c>
      <c r="N9">
        <v>9</v>
      </c>
      <c r="O9">
        <v>3</v>
      </c>
      <c r="S9" t="s">
        <v>2</v>
      </c>
      <c r="T9">
        <v>90594.344444444447</v>
      </c>
      <c r="U9">
        <v>156.72222222222223</v>
      </c>
      <c r="W9" t="s">
        <v>109</v>
      </c>
      <c r="X9" t="s">
        <v>1</v>
      </c>
      <c r="Y9">
        <v>2.4</v>
      </c>
      <c r="AA9" t="s">
        <v>86</v>
      </c>
      <c r="AB9" t="s">
        <v>32</v>
      </c>
      <c r="AC9">
        <v>210</v>
      </c>
      <c r="AH9" s="2" t="s">
        <v>71</v>
      </c>
      <c r="AI9" s="3">
        <v>45795</v>
      </c>
      <c r="AL9" s="2" t="s">
        <v>12</v>
      </c>
      <c r="AO9">
        <v>20</v>
      </c>
      <c r="AT9" s="2" t="s">
        <v>12</v>
      </c>
      <c r="AX9">
        <v>10</v>
      </c>
      <c r="AY9">
        <v>2</v>
      </c>
      <c r="AZ9">
        <v>8</v>
      </c>
    </row>
    <row r="10" spans="1:58" x14ac:dyDescent="0.25">
      <c r="A10" s="2" t="s">
        <v>101</v>
      </c>
      <c r="D10" s="2" t="s">
        <v>78</v>
      </c>
      <c r="G10" s="2" t="s">
        <v>33</v>
      </c>
      <c r="H10" s="3">
        <v>89333.333333333328</v>
      </c>
      <c r="J10" s="2" t="s">
        <v>13</v>
      </c>
      <c r="L10">
        <v>4</v>
      </c>
      <c r="M10">
        <v>31</v>
      </c>
      <c r="N10">
        <v>21</v>
      </c>
      <c r="S10" t="s">
        <v>33</v>
      </c>
      <c r="T10">
        <v>89333.333333333328</v>
      </c>
      <c r="U10">
        <v>379.2</v>
      </c>
      <c r="W10" t="s">
        <v>103</v>
      </c>
      <c r="X10" t="s">
        <v>1</v>
      </c>
      <c r="Y10">
        <v>2.4</v>
      </c>
      <c r="AA10" t="s">
        <v>87</v>
      </c>
      <c r="AB10" t="s">
        <v>18</v>
      </c>
      <c r="AC10">
        <v>205</v>
      </c>
      <c r="AH10" s="2" t="s">
        <v>72</v>
      </c>
      <c r="AI10" s="3">
        <v>43000</v>
      </c>
      <c r="AL10" s="2" t="s">
        <v>13</v>
      </c>
      <c r="AM10">
        <v>3</v>
      </c>
      <c r="AN10">
        <v>3</v>
      </c>
      <c r="AO10">
        <v>44</v>
      </c>
      <c r="AP10">
        <v>6</v>
      </c>
      <c r="AT10" s="2" t="s">
        <v>13</v>
      </c>
      <c r="AU10">
        <v>4</v>
      </c>
      <c r="AW10">
        <v>4</v>
      </c>
      <c r="AX10">
        <v>17</v>
      </c>
      <c r="AY10">
        <v>4</v>
      </c>
      <c r="AZ10">
        <v>27</v>
      </c>
    </row>
    <row r="11" spans="1:58" x14ac:dyDescent="0.25">
      <c r="A11" s="4" t="s">
        <v>3</v>
      </c>
      <c r="B11">
        <v>4500000</v>
      </c>
      <c r="D11" s="4" t="s">
        <v>4</v>
      </c>
      <c r="E11" s="3">
        <v>8200</v>
      </c>
      <c r="G11" s="2" t="s">
        <v>30</v>
      </c>
      <c r="H11" s="3">
        <v>87032</v>
      </c>
      <c r="J11" s="2" t="s">
        <v>14</v>
      </c>
      <c r="O11">
        <v>7</v>
      </c>
      <c r="P11">
        <v>2</v>
      </c>
      <c r="S11" t="s">
        <v>30</v>
      </c>
      <c r="T11">
        <v>87032</v>
      </c>
      <c r="U11">
        <v>693.1</v>
      </c>
      <c r="W11" t="s">
        <v>105</v>
      </c>
      <c r="X11" t="s">
        <v>1</v>
      </c>
      <c r="Y11">
        <v>2.4</v>
      </c>
      <c r="AA11" t="s">
        <v>88</v>
      </c>
      <c r="AB11" t="s">
        <v>32</v>
      </c>
      <c r="AC11">
        <v>190</v>
      </c>
      <c r="AH11" s="2" t="s">
        <v>63</v>
      </c>
      <c r="AI11" s="3">
        <v>41418.724137931036</v>
      </c>
      <c r="AL11" s="2" t="s">
        <v>14</v>
      </c>
      <c r="AM11">
        <v>9</v>
      </c>
      <c r="AT11" s="2" t="s">
        <v>14</v>
      </c>
      <c r="AY11">
        <v>9</v>
      </c>
    </row>
    <row r="12" spans="1:58" x14ac:dyDescent="0.25">
      <c r="A12" s="2" t="s">
        <v>102</v>
      </c>
      <c r="D12" s="2" t="s">
        <v>79</v>
      </c>
      <c r="G12" s="2" t="s">
        <v>24</v>
      </c>
      <c r="H12" s="3">
        <v>84190.476190476184</v>
      </c>
      <c r="J12" s="2" t="s">
        <v>15</v>
      </c>
      <c r="L12">
        <v>3</v>
      </c>
      <c r="M12">
        <v>41</v>
      </c>
      <c r="N12">
        <v>26</v>
      </c>
      <c r="O12">
        <v>1</v>
      </c>
      <c r="S12" t="s">
        <v>24</v>
      </c>
      <c r="T12">
        <v>84190.476190476184</v>
      </c>
      <c r="U12">
        <v>432.85714285714283</v>
      </c>
      <c r="W12" t="s">
        <v>102</v>
      </c>
      <c r="X12" t="s">
        <v>1</v>
      </c>
      <c r="Y12">
        <v>2.4</v>
      </c>
      <c r="AH12" s="2" t="s">
        <v>73</v>
      </c>
      <c r="AI12" s="3">
        <v>34500</v>
      </c>
      <c r="AL12" s="2" t="s">
        <v>15</v>
      </c>
      <c r="AM12">
        <v>11</v>
      </c>
      <c r="AN12">
        <v>5</v>
      </c>
      <c r="AO12">
        <v>53</v>
      </c>
      <c r="AP12">
        <v>2</v>
      </c>
      <c r="AT12" s="2" t="s">
        <v>15</v>
      </c>
      <c r="AU12">
        <v>3</v>
      </c>
      <c r="AV12">
        <v>3</v>
      </c>
      <c r="AW12">
        <v>1</v>
      </c>
      <c r="AX12">
        <v>21</v>
      </c>
      <c r="AY12">
        <v>4</v>
      </c>
      <c r="AZ12">
        <v>39</v>
      </c>
    </row>
    <row r="13" spans="1:58" x14ac:dyDescent="0.25">
      <c r="A13" s="4" t="s">
        <v>1</v>
      </c>
      <c r="B13">
        <v>5000000</v>
      </c>
      <c r="D13" s="4" t="s">
        <v>4</v>
      </c>
      <c r="E13" s="3">
        <v>7200</v>
      </c>
      <c r="G13" s="2" t="s">
        <v>9</v>
      </c>
      <c r="H13" s="3">
        <v>82870.952380952382</v>
      </c>
      <c r="J13" s="2" t="s">
        <v>16</v>
      </c>
      <c r="M13">
        <v>21</v>
      </c>
      <c r="N13">
        <v>28</v>
      </c>
      <c r="O13">
        <v>10</v>
      </c>
      <c r="S13" t="s">
        <v>9</v>
      </c>
      <c r="T13">
        <v>82870.952380952382</v>
      </c>
      <c r="U13">
        <v>393.1904761904762</v>
      </c>
      <c r="W13" t="s">
        <v>110</v>
      </c>
      <c r="X13" t="s">
        <v>8</v>
      </c>
      <c r="Y13">
        <v>2.5</v>
      </c>
      <c r="AH13" s="2" t="s">
        <v>74</v>
      </c>
      <c r="AI13" s="3">
        <v>25210</v>
      </c>
      <c r="AL13" s="2" t="s">
        <v>16</v>
      </c>
      <c r="AN13">
        <v>3</v>
      </c>
      <c r="AO13">
        <v>45</v>
      </c>
      <c r="AP13">
        <v>11</v>
      </c>
      <c r="AT13" s="2" t="s">
        <v>16</v>
      </c>
      <c r="AX13">
        <v>30</v>
      </c>
      <c r="AY13">
        <v>7</v>
      </c>
      <c r="AZ13">
        <v>22</v>
      </c>
    </row>
    <row r="14" spans="1:58" x14ac:dyDescent="0.25">
      <c r="A14" s="2" t="s">
        <v>103</v>
      </c>
      <c r="D14" s="2" t="s">
        <v>80</v>
      </c>
      <c r="G14" s="2" t="s">
        <v>19</v>
      </c>
      <c r="H14" s="3">
        <v>70400</v>
      </c>
      <c r="J14" s="2" t="s">
        <v>17</v>
      </c>
      <c r="L14">
        <v>2</v>
      </c>
      <c r="M14">
        <v>7</v>
      </c>
      <c r="S14" t="s">
        <v>19</v>
      </c>
      <c r="T14">
        <v>70400</v>
      </c>
      <c r="U14">
        <v>348.12</v>
      </c>
      <c r="AH14" s="2" t="s">
        <v>75</v>
      </c>
      <c r="AI14" s="3">
        <v>20500</v>
      </c>
      <c r="AL14" s="2" t="s">
        <v>17</v>
      </c>
      <c r="AO14">
        <v>8</v>
      </c>
      <c r="AP14">
        <v>1</v>
      </c>
      <c r="AT14" s="2" t="s">
        <v>17</v>
      </c>
      <c r="AU14">
        <v>1</v>
      </c>
      <c r="AZ14">
        <v>8</v>
      </c>
    </row>
    <row r="15" spans="1:58" x14ac:dyDescent="0.25">
      <c r="A15" s="4" t="s">
        <v>1</v>
      </c>
      <c r="B15">
        <v>5800000</v>
      </c>
      <c r="D15" s="4" t="s">
        <v>4</v>
      </c>
      <c r="E15" s="3">
        <v>7000</v>
      </c>
      <c r="G15" s="2" t="s">
        <v>11</v>
      </c>
      <c r="H15" s="3">
        <v>67317.073170731703</v>
      </c>
      <c r="J15" s="2" t="s">
        <v>18</v>
      </c>
      <c r="L15">
        <v>9</v>
      </c>
      <c r="M15">
        <v>17</v>
      </c>
      <c r="N15">
        <v>6</v>
      </c>
      <c r="S15" t="s">
        <v>11</v>
      </c>
      <c r="T15">
        <v>67317.073170731703</v>
      </c>
      <c r="U15">
        <v>274.53658536585368</v>
      </c>
      <c r="AH15" s="2" t="s">
        <v>76</v>
      </c>
      <c r="AI15" s="3">
        <v>11800</v>
      </c>
      <c r="AL15" s="2" t="s">
        <v>18</v>
      </c>
      <c r="AN15">
        <v>2</v>
      </c>
      <c r="AO15">
        <v>30</v>
      </c>
      <c r="AT15" s="2" t="s">
        <v>18</v>
      </c>
      <c r="AU15">
        <v>7</v>
      </c>
      <c r="AV15">
        <v>2</v>
      </c>
      <c r="AW15">
        <v>5</v>
      </c>
      <c r="AZ15">
        <v>18</v>
      </c>
    </row>
    <row r="16" spans="1:58" x14ac:dyDescent="0.25">
      <c r="A16" s="2" t="s">
        <v>104</v>
      </c>
      <c r="D16" s="2" t="s">
        <v>81</v>
      </c>
      <c r="G16" s="2" t="s">
        <v>16</v>
      </c>
      <c r="H16" s="3">
        <v>63293.47457627119</v>
      </c>
      <c r="J16" s="2" t="s">
        <v>19</v>
      </c>
      <c r="M16">
        <v>2</v>
      </c>
      <c r="N16">
        <v>39</v>
      </c>
      <c r="O16">
        <v>9</v>
      </c>
      <c r="S16" t="s">
        <v>16</v>
      </c>
      <c r="T16">
        <v>63293.47457627119</v>
      </c>
      <c r="U16">
        <v>398.54237288135596</v>
      </c>
      <c r="AL16" s="2" t="s">
        <v>19</v>
      </c>
      <c r="AM16">
        <v>12</v>
      </c>
      <c r="AO16">
        <v>38</v>
      </c>
      <c r="AT16" s="2" t="s">
        <v>19</v>
      </c>
      <c r="AX16">
        <v>25</v>
      </c>
      <c r="AY16">
        <v>5</v>
      </c>
      <c r="AZ16">
        <v>20</v>
      </c>
    </row>
    <row r="17" spans="1:52" x14ac:dyDescent="0.25">
      <c r="A17" s="4" t="s">
        <v>2</v>
      </c>
      <c r="B17">
        <v>6000000</v>
      </c>
      <c r="D17" s="4" t="s">
        <v>4</v>
      </c>
      <c r="E17" s="3">
        <v>6500</v>
      </c>
      <c r="G17" s="2" t="s">
        <v>7</v>
      </c>
      <c r="H17" s="3">
        <v>63259.259259259263</v>
      </c>
      <c r="J17" s="2" t="s">
        <v>20</v>
      </c>
      <c r="M17">
        <v>11</v>
      </c>
      <c r="N17">
        <v>7</v>
      </c>
      <c r="O17">
        <v>1</v>
      </c>
      <c r="S17" t="s">
        <v>7</v>
      </c>
      <c r="T17">
        <v>63259.259259259263</v>
      </c>
      <c r="U17">
        <v>311.03703703703701</v>
      </c>
      <c r="AL17" s="2" t="s">
        <v>20</v>
      </c>
      <c r="AN17">
        <v>3</v>
      </c>
      <c r="AO17">
        <v>14</v>
      </c>
      <c r="AP17">
        <v>2</v>
      </c>
      <c r="AT17" s="2" t="s">
        <v>20</v>
      </c>
      <c r="AX17">
        <v>7</v>
      </c>
      <c r="AZ17">
        <v>12</v>
      </c>
    </row>
    <row r="18" spans="1:52" x14ac:dyDescent="0.25">
      <c r="A18" s="2" t="s">
        <v>105</v>
      </c>
      <c r="D18" s="2" t="s">
        <v>82</v>
      </c>
      <c r="G18" s="2" t="s">
        <v>12</v>
      </c>
      <c r="H18" s="3">
        <v>62178.5</v>
      </c>
      <c r="J18" s="2" t="s">
        <v>21</v>
      </c>
      <c r="L18">
        <v>4</v>
      </c>
      <c r="M18">
        <v>60</v>
      </c>
      <c r="N18">
        <v>12</v>
      </c>
      <c r="S18" t="s">
        <v>12</v>
      </c>
      <c r="T18">
        <v>62178.5</v>
      </c>
      <c r="U18">
        <v>368.4</v>
      </c>
      <c r="AL18" s="2" t="s">
        <v>21</v>
      </c>
      <c r="AO18">
        <v>71</v>
      </c>
      <c r="AP18">
        <v>5</v>
      </c>
      <c r="AT18" s="2" t="s">
        <v>21</v>
      </c>
      <c r="AU18">
        <v>6</v>
      </c>
      <c r="AV18">
        <v>1</v>
      </c>
      <c r="AW18">
        <v>2</v>
      </c>
      <c r="AX18">
        <v>4</v>
      </c>
      <c r="AY18">
        <v>1</v>
      </c>
      <c r="AZ18">
        <v>62</v>
      </c>
    </row>
    <row r="19" spans="1:52" x14ac:dyDescent="0.25">
      <c r="A19" s="4" t="s">
        <v>1</v>
      </c>
      <c r="B19">
        <v>9000000</v>
      </c>
      <c r="D19" s="4" t="s">
        <v>4</v>
      </c>
      <c r="E19" s="3">
        <v>6200</v>
      </c>
      <c r="G19" s="2" t="s">
        <v>26</v>
      </c>
      <c r="H19" s="3">
        <v>59194.591194968554</v>
      </c>
      <c r="J19" s="2" t="s">
        <v>3</v>
      </c>
      <c r="O19">
        <v>22</v>
      </c>
      <c r="P19">
        <v>2</v>
      </c>
      <c r="S19" t="s">
        <v>26</v>
      </c>
      <c r="T19">
        <v>59194.591194968554</v>
      </c>
      <c r="U19">
        <v>245.33962264150944</v>
      </c>
      <c r="AL19" s="2" t="s">
        <v>3</v>
      </c>
      <c r="AM19">
        <v>20</v>
      </c>
      <c r="AO19">
        <v>4</v>
      </c>
      <c r="AT19" s="2" t="s">
        <v>3</v>
      </c>
      <c r="AY19">
        <v>24</v>
      </c>
    </row>
    <row r="20" spans="1:52" x14ac:dyDescent="0.25">
      <c r="A20" s="2" t="s">
        <v>106</v>
      </c>
      <c r="D20" s="2" t="s">
        <v>83</v>
      </c>
      <c r="G20" s="2" t="s">
        <v>20</v>
      </c>
      <c r="H20" s="3">
        <v>51439.210526315786</v>
      </c>
      <c r="J20" s="2" t="s">
        <v>22</v>
      </c>
      <c r="L20">
        <v>2</v>
      </c>
      <c r="M20">
        <v>2</v>
      </c>
      <c r="S20" t="s">
        <v>20</v>
      </c>
      <c r="T20">
        <v>51439.210526315786</v>
      </c>
      <c r="U20">
        <v>318.89473684210526</v>
      </c>
      <c r="AL20" s="2" t="s">
        <v>22</v>
      </c>
      <c r="AN20">
        <v>2</v>
      </c>
      <c r="AO20">
        <v>2</v>
      </c>
      <c r="AT20" s="2" t="s">
        <v>22</v>
      </c>
      <c r="AZ20">
        <v>4</v>
      </c>
    </row>
    <row r="21" spans="1:52" x14ac:dyDescent="0.25">
      <c r="A21" s="4" t="s">
        <v>1</v>
      </c>
      <c r="B21">
        <v>18000000</v>
      </c>
      <c r="D21" s="4" t="s">
        <v>4</v>
      </c>
      <c r="E21" s="3">
        <v>5000</v>
      </c>
      <c r="G21" s="2" t="s">
        <v>15</v>
      </c>
      <c r="H21" s="3">
        <v>50150.915492957749</v>
      </c>
      <c r="J21" s="2" t="s">
        <v>23</v>
      </c>
      <c r="L21">
        <v>4</v>
      </c>
      <c r="S21" t="s">
        <v>15</v>
      </c>
      <c r="T21">
        <v>50150.915492957749</v>
      </c>
      <c r="U21">
        <v>308.26760563380282</v>
      </c>
      <c r="AL21" s="2" t="s">
        <v>23</v>
      </c>
      <c r="AO21">
        <v>4</v>
      </c>
      <c r="AT21" s="2" t="s">
        <v>23</v>
      </c>
      <c r="AU21">
        <v>3</v>
      </c>
      <c r="AZ21">
        <v>1</v>
      </c>
    </row>
    <row r="22" spans="1:52" x14ac:dyDescent="0.25">
      <c r="D22" s="2" t="s">
        <v>91</v>
      </c>
      <c r="G22" s="2" t="s">
        <v>13</v>
      </c>
      <c r="H22" s="3">
        <v>44816.964285714283</v>
      </c>
      <c r="J22" s="2" t="s">
        <v>2</v>
      </c>
      <c r="K22">
        <v>2</v>
      </c>
      <c r="L22">
        <v>25</v>
      </c>
      <c r="M22">
        <v>60</v>
      </c>
      <c r="N22">
        <v>1</v>
      </c>
      <c r="P22">
        <v>1</v>
      </c>
      <c r="Q22">
        <v>1</v>
      </c>
      <c r="S22" t="s">
        <v>13</v>
      </c>
      <c r="T22">
        <v>44816.964285714283</v>
      </c>
      <c r="U22">
        <v>303.71428571428572</v>
      </c>
      <c r="AL22" s="2" t="s">
        <v>2</v>
      </c>
      <c r="AM22">
        <v>16</v>
      </c>
      <c r="AN22">
        <v>18</v>
      </c>
      <c r="AO22">
        <v>56</v>
      </c>
      <c r="AT22" s="2" t="s">
        <v>2</v>
      </c>
      <c r="AU22">
        <v>29</v>
      </c>
      <c r="AV22">
        <v>2</v>
      </c>
      <c r="AW22">
        <v>1</v>
      </c>
      <c r="AX22">
        <v>1</v>
      </c>
      <c r="AY22">
        <v>1</v>
      </c>
      <c r="AZ22">
        <v>56</v>
      </c>
    </row>
    <row r="23" spans="1:52" x14ac:dyDescent="0.25">
      <c r="D23" s="4" t="s">
        <v>4</v>
      </c>
      <c r="E23" s="3">
        <v>4000</v>
      </c>
      <c r="G23" s="2" t="s">
        <v>31</v>
      </c>
      <c r="H23" s="3">
        <v>40998.6875</v>
      </c>
      <c r="J23" s="2" t="s">
        <v>24</v>
      </c>
      <c r="M23">
        <v>3</v>
      </c>
      <c r="N23">
        <v>9</v>
      </c>
      <c r="O23">
        <v>9</v>
      </c>
      <c r="S23" t="s">
        <v>31</v>
      </c>
      <c r="T23">
        <v>40998.6875</v>
      </c>
      <c r="U23">
        <v>231.078125</v>
      </c>
      <c r="AL23" s="2" t="s">
        <v>24</v>
      </c>
      <c r="AN23">
        <v>1</v>
      </c>
      <c r="AO23">
        <v>20</v>
      </c>
      <c r="AT23" s="2" t="s">
        <v>24</v>
      </c>
      <c r="AX23">
        <v>12</v>
      </c>
      <c r="AY23">
        <v>4</v>
      </c>
      <c r="AZ23">
        <v>5</v>
      </c>
    </row>
    <row r="24" spans="1:52" x14ac:dyDescent="0.25">
      <c r="G24" s="2" t="s">
        <v>21</v>
      </c>
      <c r="H24" s="3">
        <v>36131.57894736842</v>
      </c>
      <c r="J24" s="2" t="s">
        <v>25</v>
      </c>
      <c r="L24">
        <v>12</v>
      </c>
      <c r="M24">
        <v>50</v>
      </c>
      <c r="N24">
        <v>2</v>
      </c>
      <c r="S24" t="s">
        <v>21</v>
      </c>
      <c r="T24">
        <v>36131.57894736842</v>
      </c>
      <c r="U24">
        <v>217.52631578947367</v>
      </c>
      <c r="AL24" s="2" t="s">
        <v>25</v>
      </c>
      <c r="AM24">
        <v>4</v>
      </c>
      <c r="AN24">
        <v>7</v>
      </c>
      <c r="AO24">
        <v>53</v>
      </c>
      <c r="AT24" s="2" t="s">
        <v>25</v>
      </c>
      <c r="AU24">
        <v>13</v>
      </c>
      <c r="AV24">
        <v>6</v>
      </c>
      <c r="AW24">
        <v>2</v>
      </c>
      <c r="AZ24">
        <v>43</v>
      </c>
    </row>
    <row r="25" spans="1:52" x14ac:dyDescent="0.25">
      <c r="G25" s="2" t="s">
        <v>32</v>
      </c>
      <c r="H25" s="3">
        <v>35551.31736526946</v>
      </c>
      <c r="J25" s="2" t="s">
        <v>26</v>
      </c>
      <c r="L25">
        <v>26</v>
      </c>
      <c r="M25">
        <v>85</v>
      </c>
      <c r="N25">
        <v>35</v>
      </c>
      <c r="O25">
        <v>11</v>
      </c>
      <c r="P25">
        <v>2</v>
      </c>
      <c r="S25" t="s">
        <v>32</v>
      </c>
      <c r="T25">
        <v>35551.31736526946</v>
      </c>
      <c r="U25">
        <v>187.69461077844312</v>
      </c>
      <c r="AL25" s="2" t="s">
        <v>26</v>
      </c>
      <c r="AM25">
        <v>18</v>
      </c>
      <c r="AN25">
        <v>23</v>
      </c>
      <c r="AO25">
        <v>113</v>
      </c>
      <c r="AP25">
        <v>5</v>
      </c>
      <c r="AT25" s="2" t="s">
        <v>26</v>
      </c>
      <c r="AU25">
        <v>28</v>
      </c>
      <c r="AV25">
        <v>2</v>
      </c>
      <c r="AX25">
        <v>26</v>
      </c>
      <c r="AY25">
        <v>8</v>
      </c>
      <c r="AZ25">
        <v>95</v>
      </c>
    </row>
    <row r="26" spans="1:52" x14ac:dyDescent="0.25">
      <c r="G26" s="2" t="s">
        <v>27</v>
      </c>
      <c r="H26" s="3">
        <v>35416.666666666664</v>
      </c>
      <c r="J26" s="2" t="s">
        <v>27</v>
      </c>
      <c r="M26">
        <v>49</v>
      </c>
      <c r="N26">
        <v>5</v>
      </c>
      <c r="S26" t="s">
        <v>27</v>
      </c>
      <c r="T26">
        <v>35416.666666666664</v>
      </c>
      <c r="U26">
        <v>180.12962962962962</v>
      </c>
      <c r="AL26" s="2" t="s">
        <v>27</v>
      </c>
      <c r="AN26">
        <v>4</v>
      </c>
      <c r="AO26">
        <v>50</v>
      </c>
      <c r="AT26" s="2" t="s">
        <v>27</v>
      </c>
      <c r="AW26">
        <v>5</v>
      </c>
      <c r="AX26">
        <v>4</v>
      </c>
      <c r="AZ26">
        <v>45</v>
      </c>
    </row>
    <row r="27" spans="1:52" x14ac:dyDescent="0.25">
      <c r="G27" s="2" t="s">
        <v>18</v>
      </c>
      <c r="H27" s="3">
        <v>30112.46875</v>
      </c>
      <c r="J27" s="2" t="s">
        <v>28</v>
      </c>
      <c r="N27">
        <v>22</v>
      </c>
      <c r="O27">
        <v>73</v>
      </c>
      <c r="P27">
        <v>1</v>
      </c>
      <c r="S27" t="s">
        <v>18</v>
      </c>
      <c r="T27">
        <v>30112.46875</v>
      </c>
      <c r="U27">
        <v>193.375</v>
      </c>
      <c r="AL27" s="2" t="s">
        <v>28</v>
      </c>
      <c r="AM27">
        <v>17</v>
      </c>
      <c r="AN27">
        <v>57</v>
      </c>
      <c r="AO27">
        <v>22</v>
      </c>
      <c r="AT27" s="2" t="s">
        <v>28</v>
      </c>
      <c r="AX27">
        <v>46</v>
      </c>
      <c r="AY27">
        <v>42</v>
      </c>
      <c r="AZ27">
        <v>8</v>
      </c>
    </row>
    <row r="28" spans="1:52" x14ac:dyDescent="0.25">
      <c r="G28" s="2" t="s">
        <v>25</v>
      </c>
      <c r="H28" s="3">
        <v>28820.3125</v>
      </c>
      <c r="J28" s="2" t="s">
        <v>29</v>
      </c>
      <c r="O28">
        <v>30</v>
      </c>
      <c r="S28" t="s">
        <v>25</v>
      </c>
      <c r="T28">
        <v>28820.3125</v>
      </c>
      <c r="U28">
        <v>148.078125</v>
      </c>
      <c r="AL28" s="2" t="s">
        <v>29</v>
      </c>
      <c r="AN28">
        <v>14</v>
      </c>
      <c r="AO28">
        <v>16</v>
      </c>
      <c r="AT28" s="2" t="s">
        <v>29</v>
      </c>
      <c r="AX28">
        <v>30</v>
      </c>
    </row>
    <row r="29" spans="1:52" x14ac:dyDescent="0.25">
      <c r="G29" s="2" t="s">
        <v>17</v>
      </c>
      <c r="H29" s="3">
        <v>27883.333333333332</v>
      </c>
      <c r="J29" s="2" t="s">
        <v>4</v>
      </c>
      <c r="K29">
        <v>15</v>
      </c>
      <c r="L29">
        <v>13</v>
      </c>
      <c r="M29">
        <v>6</v>
      </c>
      <c r="S29" t="s">
        <v>17</v>
      </c>
      <c r="T29">
        <v>27883.333333333332</v>
      </c>
      <c r="U29">
        <v>194.22222222222223</v>
      </c>
      <c r="AL29" s="2" t="s">
        <v>4</v>
      </c>
      <c r="AN29">
        <v>1</v>
      </c>
      <c r="AO29">
        <v>33</v>
      </c>
      <c r="AT29" s="2" t="s">
        <v>4</v>
      </c>
      <c r="AU29">
        <v>15</v>
      </c>
      <c r="AW29">
        <v>4</v>
      </c>
      <c r="AZ29">
        <v>15</v>
      </c>
    </row>
    <row r="30" spans="1:52" x14ac:dyDescent="0.25">
      <c r="G30" s="2" t="s">
        <v>22</v>
      </c>
      <c r="H30" s="3">
        <v>18900</v>
      </c>
      <c r="J30" s="2" t="s">
        <v>30</v>
      </c>
      <c r="M30">
        <v>2</v>
      </c>
      <c r="N30">
        <v>4</v>
      </c>
      <c r="O30">
        <v>4</v>
      </c>
      <c r="S30" t="s">
        <v>22</v>
      </c>
      <c r="T30">
        <v>18900</v>
      </c>
      <c r="U30">
        <v>148.75</v>
      </c>
      <c r="AL30" s="2" t="s">
        <v>30</v>
      </c>
      <c r="AN30">
        <v>1</v>
      </c>
      <c r="AO30">
        <v>9</v>
      </c>
      <c r="AT30" s="2" t="s">
        <v>30</v>
      </c>
      <c r="AW30">
        <v>2</v>
      </c>
      <c r="AX30">
        <v>1</v>
      </c>
      <c r="AY30">
        <v>7</v>
      </c>
    </row>
    <row r="31" spans="1:52" x14ac:dyDescent="0.25">
      <c r="G31" s="2" t="s">
        <v>4</v>
      </c>
      <c r="H31" s="3">
        <v>12129.411764705883</v>
      </c>
      <c r="J31" s="2" t="s">
        <v>31</v>
      </c>
      <c r="L31">
        <v>2</v>
      </c>
      <c r="M31">
        <v>44</v>
      </c>
      <c r="N31">
        <v>16</v>
      </c>
      <c r="O31">
        <v>1</v>
      </c>
      <c r="Q31">
        <v>1</v>
      </c>
      <c r="S31" t="s">
        <v>4</v>
      </c>
      <c r="T31">
        <v>12129.411764705883</v>
      </c>
      <c r="U31">
        <v>95.529411764705884</v>
      </c>
      <c r="AL31" s="2" t="s">
        <v>31</v>
      </c>
      <c r="AM31">
        <v>3</v>
      </c>
      <c r="AN31">
        <v>3</v>
      </c>
      <c r="AO31">
        <v>57</v>
      </c>
      <c r="AP31">
        <v>1</v>
      </c>
      <c r="AT31" s="2" t="s">
        <v>31</v>
      </c>
      <c r="AU31">
        <v>2</v>
      </c>
      <c r="AV31">
        <v>6</v>
      </c>
      <c r="AW31">
        <v>4</v>
      </c>
      <c r="AX31">
        <v>6</v>
      </c>
      <c r="AZ31">
        <v>46</v>
      </c>
    </row>
    <row r="32" spans="1:52" x14ac:dyDescent="0.25">
      <c r="G32" s="2" t="s">
        <v>23</v>
      </c>
      <c r="H32" s="3">
        <v>11900</v>
      </c>
      <c r="J32" s="2" t="s">
        <v>32</v>
      </c>
      <c r="L32">
        <v>14</v>
      </c>
      <c r="M32">
        <v>127</v>
      </c>
      <c r="N32">
        <v>25</v>
      </c>
      <c r="O32">
        <v>1</v>
      </c>
      <c r="S32" t="s">
        <v>23</v>
      </c>
      <c r="T32">
        <v>11900</v>
      </c>
      <c r="U32">
        <v>88</v>
      </c>
      <c r="AL32" s="2" t="s">
        <v>32</v>
      </c>
      <c r="AM32">
        <v>4</v>
      </c>
      <c r="AN32">
        <v>26</v>
      </c>
      <c r="AO32">
        <v>135</v>
      </c>
      <c r="AP32">
        <v>2</v>
      </c>
      <c r="AT32" s="2" t="s">
        <v>32</v>
      </c>
      <c r="AU32">
        <v>14</v>
      </c>
      <c r="AW32">
        <v>18</v>
      </c>
      <c r="AX32">
        <v>7</v>
      </c>
      <c r="AZ32">
        <v>128</v>
      </c>
    </row>
    <row r="33" spans="10:52" x14ac:dyDescent="0.25">
      <c r="J33" s="2" t="s">
        <v>33</v>
      </c>
      <c r="N33">
        <v>8</v>
      </c>
      <c r="O33">
        <v>7</v>
      </c>
      <c r="AL33" s="2" t="s">
        <v>33</v>
      </c>
      <c r="AM33">
        <v>9</v>
      </c>
      <c r="AO33">
        <v>6</v>
      </c>
      <c r="AT33" s="2" t="s">
        <v>33</v>
      </c>
      <c r="AX33">
        <v>7</v>
      </c>
      <c r="AZ33">
        <v>8</v>
      </c>
    </row>
  </sheetData>
  <pageMargins left="0.7" right="0.7" top="0.75" bottom="0.75" header="0.3" footer="0.3"/>
  <pageSetup orientation="portrait" r:id="rId16"/>
  <tableParts count="1">
    <tablePart r:id="rId17"/>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E75C9-BF4B-4B2A-A367-FD6820DAE053}">
  <sheetPr>
    <tabColor rgb="FF292F42"/>
  </sheetPr>
  <dimension ref="A1:V32"/>
  <sheetViews>
    <sheetView showGridLines="0" showRowColHeaders="0" tabSelected="1" zoomScaleNormal="100" workbookViewId="0">
      <pane activePane="bottomRight" state="frozen"/>
      <selection activeCell="D3" sqref="D3"/>
    </sheetView>
  </sheetViews>
  <sheetFormatPr defaultColWidth="0" defaultRowHeight="15" zeroHeight="1" x14ac:dyDescent="0.25"/>
  <cols>
    <col min="1" max="14" width="9.140625" style="9" customWidth="1"/>
    <col min="15" max="15" width="1.7109375" style="9" customWidth="1"/>
    <col min="16" max="17" width="9.140625" style="9" customWidth="1"/>
    <col min="18" max="18" width="9.7109375" style="9" customWidth="1"/>
    <col min="19" max="19" width="0.42578125" style="9" customWidth="1"/>
    <col min="20" max="22" width="9.140625" style="9" customWidth="1"/>
    <col min="23" max="16384" width="9.140625" style="9" hidden="1"/>
  </cols>
  <sheetData>
    <row r="1" spans="3:22" x14ac:dyDescent="0.25"/>
    <row r="2" spans="3:22" x14ac:dyDescent="0.25">
      <c r="F2" s="36"/>
    </row>
    <row r="3" spans="3:22" x14ac:dyDescent="0.25"/>
    <row r="4" spans="3:22" x14ac:dyDescent="0.25"/>
    <row r="5" spans="3:22" x14ac:dyDescent="0.25">
      <c r="U5" s="25"/>
    </row>
    <row r="6" spans="3:22" x14ac:dyDescent="0.25">
      <c r="C6" s="36"/>
      <c r="U6" s="27"/>
      <c r="V6" s="26"/>
    </row>
    <row r="7" spans="3:22" x14ac:dyDescent="0.25"/>
    <row r="8" spans="3:22" ht="15.75" x14ac:dyDescent="0.3">
      <c r="P8" s="37" t="s">
        <v>55</v>
      </c>
      <c r="Q8" s="38"/>
      <c r="R8" s="39"/>
      <c r="T8" s="37" t="s">
        <v>56</v>
      </c>
      <c r="U8" s="38"/>
      <c r="V8" s="39"/>
    </row>
    <row r="9" spans="3:22" x14ac:dyDescent="0.25">
      <c r="P9" s="23" t="s">
        <v>39</v>
      </c>
      <c r="Q9" s="28" t="s">
        <v>123</v>
      </c>
      <c r="R9" s="24" t="s">
        <v>44</v>
      </c>
      <c r="T9" s="20" t="s">
        <v>39</v>
      </c>
      <c r="U9" s="21" t="s">
        <v>123</v>
      </c>
      <c r="V9" s="22" t="s">
        <v>53</v>
      </c>
    </row>
    <row r="10" spans="3:22" x14ac:dyDescent="0.25">
      <c r="O10" s="18"/>
      <c r="P10" s="29" t="str">
        <f>piv.tables!AB2</f>
        <v>porsche</v>
      </c>
      <c r="Q10" s="12" t="str">
        <f>piv.tables!AA2</f>
        <v>911 carrera 4</v>
      </c>
      <c r="R10" s="16">
        <f>piv.tables!AC2</f>
        <v>293</v>
      </c>
      <c r="S10" s="35"/>
      <c r="T10" s="12" t="str">
        <f>piv.tables!X4</f>
        <v>tesla</v>
      </c>
      <c r="U10" s="12" t="str">
        <f>piv.tables!W4</f>
        <v>roadster 2</v>
      </c>
      <c r="V10" s="16">
        <f>piv.tables!Y4</f>
        <v>1.9</v>
      </c>
    </row>
    <row r="11" spans="3:22" x14ac:dyDescent="0.25">
      <c r="O11" s="18"/>
      <c r="P11" s="29" t="str">
        <f>piv.tables!AB3</f>
        <v>porsche</v>
      </c>
      <c r="Q11" s="12" t="str">
        <f>piv.tables!AA3</f>
        <v>panamera 4s</v>
      </c>
      <c r="R11" s="16">
        <f>piv.tables!AC3</f>
        <v>289</v>
      </c>
      <c r="S11" s="19"/>
      <c r="T11" s="12" t="str">
        <f>piv.tables!X5</f>
        <v>tesla</v>
      </c>
      <c r="U11" s="12" t="str">
        <f>piv.tables!W5</f>
        <v>model s plaid</v>
      </c>
      <c r="V11" s="16">
        <f>piv.tables!Y5</f>
        <v>2.1</v>
      </c>
    </row>
    <row r="12" spans="3:22" x14ac:dyDescent="0.25">
      <c r="O12" s="18"/>
      <c r="P12" s="30" t="str">
        <f>piv.tables!AB4</f>
        <v>porsche</v>
      </c>
      <c r="Q12" s="13" t="str">
        <f>piv.tables!AA4</f>
        <v>macan gts</v>
      </c>
      <c r="R12" s="31">
        <f>piv.tables!AC4</f>
        <v>272</v>
      </c>
      <c r="S12" s="19"/>
      <c r="T12" s="12" t="str">
        <f>piv.tables!X6</f>
        <v>bugatti</v>
      </c>
      <c r="U12" s="12" t="str">
        <f>piv.tables!W6</f>
        <v>bolide</v>
      </c>
      <c r="V12" s="16">
        <f>piv.tables!Y6</f>
        <v>2.2000000000000002</v>
      </c>
    </row>
    <row r="13" spans="3:22" x14ac:dyDescent="0.25">
      <c r="O13" s="18"/>
      <c r="P13" s="29" t="str">
        <f>piv.tables!AB5</f>
        <v>porsche</v>
      </c>
      <c r="Q13" s="12" t="str">
        <f>piv.tables!AA5</f>
        <v>panamera platinum edition</v>
      </c>
      <c r="R13" s="16">
        <f>piv.tables!AC5</f>
        <v>267.5</v>
      </c>
      <c r="S13" s="19"/>
      <c r="T13" s="12" t="str">
        <f>piv.tables!X7</f>
        <v>bugatti</v>
      </c>
      <c r="U13" s="12" t="str">
        <f>piv.tables!W7</f>
        <v>chiron pur sport</v>
      </c>
      <c r="V13" s="16">
        <f>piv.tables!Y7</f>
        <v>2.2999999999999998</v>
      </c>
    </row>
    <row r="14" spans="3:22" x14ac:dyDescent="0.25">
      <c r="O14" s="18"/>
      <c r="P14" s="29" t="str">
        <f>piv.tables!AB6</f>
        <v>jaguar land rover</v>
      </c>
      <c r="Q14" s="12" t="str">
        <f>piv.tables!AA6</f>
        <v>jaguar f type</v>
      </c>
      <c r="R14" s="16">
        <f>piv.tables!AC6</f>
        <v>260</v>
      </c>
      <c r="S14" s="19"/>
      <c r="T14" s="12" t="str">
        <f>piv.tables!X8</f>
        <v>bugatti</v>
      </c>
      <c r="U14" s="12" t="str">
        <f>piv.tables!W8</f>
        <v>chiron super sport</v>
      </c>
      <c r="V14" s="16">
        <f>piv.tables!Y8</f>
        <v>2.4</v>
      </c>
    </row>
    <row r="15" spans="3:22" x14ac:dyDescent="0.25">
      <c r="O15" s="18"/>
      <c r="P15" s="29" t="str">
        <f>piv.tables!AB7</f>
        <v>porsche</v>
      </c>
      <c r="Q15" s="12" t="str">
        <f>piv.tables!AA7</f>
        <v>macan s</v>
      </c>
      <c r="R15" s="16">
        <f>piv.tables!AC7</f>
        <v>259</v>
      </c>
      <c r="S15" s="19"/>
      <c r="T15" s="12" t="str">
        <f>piv.tables!X9</f>
        <v>bugatti</v>
      </c>
      <c r="U15" s="12" t="str">
        <f>piv.tables!W9</f>
        <v>chiron sport</v>
      </c>
      <c r="V15" s="16">
        <f>piv.tables!Y9</f>
        <v>2.4</v>
      </c>
    </row>
    <row r="16" spans="3:22" x14ac:dyDescent="0.25">
      <c r="O16" s="18"/>
      <c r="P16" s="29" t="str">
        <f>piv.tables!AB8</f>
        <v>peugeot</v>
      </c>
      <c r="Q16" s="12" t="str">
        <f>piv.tables!AA8</f>
        <v>508 pse peugeot sport engineered</v>
      </c>
      <c r="R16" s="16">
        <f>piv.tables!AC8</f>
        <v>250</v>
      </c>
      <c r="S16" s="19"/>
      <c r="T16" s="12" t="str">
        <f>piv.tables!X10</f>
        <v>bugatti</v>
      </c>
      <c r="U16" s="12" t="str">
        <f>piv.tables!W10</f>
        <v>divo</v>
      </c>
      <c r="V16" s="16">
        <f>piv.tables!Y10</f>
        <v>2.4</v>
      </c>
    </row>
    <row r="17" spans="15:22" x14ac:dyDescent="0.25">
      <c r="O17" s="18"/>
      <c r="P17" s="29" t="str">
        <f>piv.tables!AB9</f>
        <v>volkswagen</v>
      </c>
      <c r="Q17" s="12" t="str">
        <f>piv.tables!AA9</f>
        <v>golf</v>
      </c>
      <c r="R17" s="16">
        <f>piv.tables!AC9</f>
        <v>210</v>
      </c>
      <c r="S17" s="19"/>
      <c r="T17" s="12" t="str">
        <f>piv.tables!X11</f>
        <v>bugatti</v>
      </c>
      <c r="U17" s="12" t="str">
        <f>piv.tables!W11</f>
        <v>centodieci</v>
      </c>
      <c r="V17" s="16">
        <f>piv.tables!Y11</f>
        <v>2.4</v>
      </c>
    </row>
    <row r="18" spans="15:22" x14ac:dyDescent="0.25">
      <c r="O18" s="18"/>
      <c r="P18" s="32" t="str">
        <f>piv.tables!AB10</f>
        <v>hyundai</v>
      </c>
      <c r="Q18" s="14" t="str">
        <f>piv.tables!AA10</f>
        <v>elantra</v>
      </c>
      <c r="R18" s="33">
        <f>piv.tables!AC10</f>
        <v>205</v>
      </c>
      <c r="S18" s="19"/>
      <c r="T18" s="12" t="str">
        <f>piv.tables!X12</f>
        <v>bugatti</v>
      </c>
      <c r="U18" s="12" t="str">
        <f>piv.tables!W12</f>
        <v>mistral</v>
      </c>
      <c r="V18" s="16">
        <f>piv.tables!Y12</f>
        <v>2.4</v>
      </c>
    </row>
    <row r="19" spans="15:22" x14ac:dyDescent="0.25">
      <c r="P19" s="10" t="str">
        <f>piv.tables!AB11</f>
        <v>volkswagen</v>
      </c>
      <c r="Q19" s="15" t="str">
        <f>piv.tables!AA11</f>
        <v>polo bluemotion</v>
      </c>
      <c r="R19" s="11">
        <f>piv.tables!AC11</f>
        <v>190</v>
      </c>
      <c r="S19" s="35"/>
      <c r="T19" s="17" t="str">
        <f>piv.tables!X13</f>
        <v>aston martin</v>
      </c>
      <c r="U19" s="17" t="str">
        <f>piv.tables!W13</f>
        <v>valkyrie</v>
      </c>
      <c r="V19" s="34">
        <f>piv.tables!Y13</f>
        <v>2.5</v>
      </c>
    </row>
    <row r="20" spans="15:22" x14ac:dyDescent="0.25"/>
    <row r="21" spans="15:22" x14ac:dyDescent="0.25"/>
    <row r="22" spans="15:22" x14ac:dyDescent="0.25"/>
    <row r="23" spans="15:22" x14ac:dyDescent="0.25"/>
    <row r="24" spans="15:22" x14ac:dyDescent="0.25"/>
    <row r="25" spans="15:22" x14ac:dyDescent="0.25"/>
    <row r="26" spans="15:22" x14ac:dyDescent="0.25"/>
    <row r="27" spans="15:22" x14ac:dyDescent="0.25"/>
    <row r="28" spans="15:22" x14ac:dyDescent="0.25"/>
    <row r="29" spans="15:22" x14ac:dyDescent="0.25"/>
    <row r="30" spans="15:22" x14ac:dyDescent="0.25"/>
    <row r="31" spans="15:22" x14ac:dyDescent="0.25"/>
    <row r="32" spans="15:22" x14ac:dyDescent="0.25"/>
  </sheetData>
  <sheetProtection sheet="1" scenarios="1" formatCells="0" formatColumns="0" formatRows="0" insertColumns="0" insertRows="0" insertHyperlinks="0" deleteColumns="0" deleteRows="0" sort="0" pivotTables="0"/>
  <mergeCells count="2">
    <mergeCell ref="P8:R8"/>
    <mergeCell ref="T8:V8"/>
  </mergeCells>
  <printOptions horizontalCentered="1" verticalCentered="1"/>
  <pageMargins left="0" right="0" top="0" bottom="0" header="0" footer="0"/>
  <pageSetup paperSize="9" scale="88" orientation="landscape" useFirstPageNumber="1" r:id="rId1"/>
  <drawing r:id="rId2"/>
  <tableParts count="2">
    <tablePart r:id="rId3"/>
    <tablePart r:id="rId4"/>
  </tableParts>
  <extLst>
    <ext xmlns:x14="http://schemas.microsoft.com/office/spreadsheetml/2009/9/main" uri="{A8765BA9-456A-4dab-B4F3-ACF838C121DE}">
      <x14:slicerList>
        <x14:slicer r:id="rId5"/>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F8B732-4AEA-47EC-BF9F-2812F96CA984}">
  <sheetPr>
    <tabColor rgb="FF292F42"/>
  </sheetPr>
  <dimension ref="A1:U35"/>
  <sheetViews>
    <sheetView zoomScaleNormal="100" workbookViewId="0">
      <selection activeCell="D2" sqref="D2"/>
    </sheetView>
  </sheetViews>
  <sheetFormatPr defaultColWidth="0" defaultRowHeight="15" zeroHeight="1" x14ac:dyDescent="0.25"/>
  <cols>
    <col min="1" max="20" width="9.140625" style="9" customWidth="1"/>
    <col min="21" max="21" width="4.7109375" style="9" customWidth="1"/>
    <col min="22" max="16384" width="9.140625" style="9" hidden="1"/>
  </cols>
  <sheetData>
    <row r="1" x14ac:dyDescent="0.25"/>
    <row r="2" x14ac:dyDescent="0.25"/>
    <row r="3" x14ac:dyDescent="0.25"/>
    <row r="4" x14ac:dyDescent="0.25"/>
    <row r="5" x14ac:dyDescent="0.25"/>
    <row r="6" x14ac:dyDescent="0.25"/>
    <row r="7" x14ac:dyDescent="0.25"/>
    <row r="8" x14ac:dyDescent="0.25"/>
    <row r="9" x14ac:dyDescent="0.25"/>
    <row r="10" x14ac:dyDescent="0.25"/>
    <row r="11" x14ac:dyDescent="0.25"/>
    <row r="12" x14ac:dyDescent="0.25"/>
    <row r="13" x14ac:dyDescent="0.25"/>
    <row r="14" x14ac:dyDescent="0.25"/>
    <row r="15" x14ac:dyDescent="0.25"/>
    <row r="16" x14ac:dyDescent="0.25"/>
    <row r="17" x14ac:dyDescent="0.25"/>
    <row r="18" x14ac:dyDescent="0.25"/>
    <row r="19" x14ac:dyDescent="0.25"/>
    <row r="20" x14ac:dyDescent="0.25"/>
    <row r="21" x14ac:dyDescent="0.25"/>
    <row r="22" x14ac:dyDescent="0.25"/>
    <row r="23" x14ac:dyDescent="0.25"/>
    <row r="24" x14ac:dyDescent="0.25"/>
    <row r="25" x14ac:dyDescent="0.25"/>
    <row r="26" x14ac:dyDescent="0.25"/>
    <row r="27" x14ac:dyDescent="0.25"/>
    <row r="28" x14ac:dyDescent="0.25"/>
    <row r="29" x14ac:dyDescent="0.25"/>
    <row r="30" x14ac:dyDescent="0.25"/>
    <row r="31" x14ac:dyDescent="0.25"/>
    <row r="32" x14ac:dyDescent="0.25"/>
    <row r="33" x14ac:dyDescent="0.25"/>
    <row r="34" x14ac:dyDescent="0.25"/>
    <row r="35" x14ac:dyDescent="0.25"/>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Props1.xml><?xml version="1.0" encoding="utf-8"?>
<ds:datastoreItem xmlns:ds="http://schemas.openxmlformats.org/officeDocument/2006/customXml" ds:itemID="{6BDB6AA7-5247-4FE8-A1B6-B25F600DE9AB}">
  <ds:schemaRefs/>
</ds:datastoreItem>
</file>

<file path=customXml/itemProps2.xml><?xml version="1.0" encoding="utf-8"?>
<ds:datastoreItem xmlns:ds="http://schemas.openxmlformats.org/officeDocument/2006/customXml" ds:itemID="{DA10F8BB-DB6F-45CC-92C6-E1A9293D0F75}">
  <ds:schemaRefs/>
</ds:datastoreItem>
</file>

<file path=customXml/itemProps3.xml><?xml version="1.0" encoding="utf-8"?>
<ds:datastoreItem xmlns:ds="http://schemas.openxmlformats.org/officeDocument/2006/customXml" ds:itemID="{E410EE1E-39A3-4F46-B026-356BBD363F00}">
  <ds:schemaRefs/>
</ds:datastoreItem>
</file>

<file path=customXml/itemProps4.xml><?xml version="1.0" encoding="utf-8"?>
<ds:datastoreItem xmlns:ds="http://schemas.openxmlformats.org/officeDocument/2006/customXml" ds:itemID="{2E0A26E0-E4CA-4912-9497-CAA1B060CE81}">
  <ds:schemaRefs/>
</ds:datastoreItem>
</file>

<file path=customXml/itemProps5.xml><?xml version="1.0" encoding="utf-8"?>
<ds:datastoreItem xmlns:ds="http://schemas.openxmlformats.org/officeDocument/2006/customXml" ds:itemID="{D22F2E4C-A0A3-4CC1-8A66-435FA9B8F01E}">
  <ds:schemaRefs/>
</ds:datastoreItem>
</file>

<file path=customXml/itemProps6.xml><?xml version="1.0" encoding="utf-8"?>
<ds:datastoreItem xmlns:ds="http://schemas.openxmlformats.org/officeDocument/2006/customXml" ds:itemID="{0C20AFD1-2EE2-4644-B9C4-285CDAB9C805}">
  <ds:schemaRefs/>
</ds:datastoreItem>
</file>

<file path=customXml/itemProps7.xml><?xml version="1.0" encoding="utf-8"?>
<ds:datastoreItem xmlns:ds="http://schemas.openxmlformats.org/officeDocument/2006/customXml" ds:itemID="{5401DCA4-B0A8-445F-ABB3-15C4CB2F7D70}">
  <ds:schemaRefs/>
</ds:datastoreItem>
</file>

<file path=customXml/itemProps8.xml><?xml version="1.0" encoding="utf-8"?>
<ds:datastoreItem xmlns:ds="http://schemas.openxmlformats.org/officeDocument/2006/customXml" ds:itemID="{E101BC02-EF4F-4255-AFF3-5DBB45B65718}">
  <ds:schemaRefs/>
</ds:datastoreItem>
</file>

<file path=customXml/itemProps9.xml><?xml version="1.0" encoding="utf-8"?>
<ds:datastoreItem xmlns:ds="http://schemas.openxmlformats.org/officeDocument/2006/customXml" ds:itemID="{EBFE5E3D-2A6F-4F42-9AB5-D427FC692C86}">
  <ds:schemaRefs/>
</ds:datastoreItem>
</file>

<file path=customXml/itemProps10.xml><?xml version="1.0" encoding="utf-8"?>
<ds:datastoreItem xmlns:ds="http://schemas.openxmlformats.org/officeDocument/2006/customXml" ds:itemID="{2C78308E-DC18-4B59-9D12-765D00A9C88A}">
  <ds:schemaRefs/>
</ds:datastoreItem>
</file>

<file path=customXml/itemProps11.xml><?xml version="1.0" encoding="utf-8"?>
<ds:datastoreItem xmlns:ds="http://schemas.openxmlformats.org/officeDocument/2006/customXml" ds:itemID="{62473103-208E-4C61-8FB4-CB3B3339FF70}">
  <ds:schemaRefs/>
</ds:datastoreItem>
</file>

<file path=customXml/itemProps12.xml><?xml version="1.0" encoding="utf-8"?>
<ds:datastoreItem xmlns:ds="http://schemas.openxmlformats.org/officeDocument/2006/customXml" ds:itemID="{F6A3FA5D-BECD-4CBE-9E11-9ED3EE6B1185}">
  <ds:schemaRefs/>
</ds:datastoreItem>
</file>

<file path=customXml/itemProps13.xml><?xml version="1.0" encoding="utf-8"?>
<ds:datastoreItem xmlns:ds="http://schemas.openxmlformats.org/officeDocument/2006/customXml" ds:itemID="{E2E932EF-5D76-4AC0-A815-370DCED98967}">
  <ds:schemaRefs/>
</ds:datastoreItem>
</file>

<file path=customXml/itemProps14.xml><?xml version="1.0" encoding="utf-8"?>
<ds:datastoreItem xmlns:ds="http://schemas.openxmlformats.org/officeDocument/2006/customXml" ds:itemID="{792B4A87-EE37-4C9C-904E-980E2E5B6790}">
  <ds:schemaRefs/>
</ds:datastoreItem>
</file>

<file path=customXml/itemProps15.xml><?xml version="1.0" encoding="utf-8"?>
<ds:datastoreItem xmlns:ds="http://schemas.openxmlformats.org/officeDocument/2006/customXml" ds:itemID="{DF326178-F6CE-4772-B806-EA4A7CA66583}">
  <ds:schemaRefs/>
</ds:datastoreItem>
</file>

<file path=customXml/itemProps16.xml><?xml version="1.0" encoding="utf-8"?>
<ds:datastoreItem xmlns:ds="http://schemas.openxmlformats.org/officeDocument/2006/customXml" ds:itemID="{F76A6190-7319-43EA-A1B8-8B6CF1CABA95}">
  <ds:schemaRefs/>
</ds:datastoreItem>
</file>

<file path=customXml/itemProps17.xml><?xml version="1.0" encoding="utf-8"?>
<ds:datastoreItem xmlns:ds="http://schemas.openxmlformats.org/officeDocument/2006/customXml" ds:itemID="{D4508CC6-829D-4401-9CEB-AF6AC2B74550}">
  <ds:schemaRefs/>
</ds:datastoreItem>
</file>

<file path=customXml/itemProps18.xml><?xml version="1.0" encoding="utf-8"?>
<ds:datastoreItem xmlns:ds="http://schemas.openxmlformats.org/officeDocument/2006/customXml" ds:itemID="{C74697E5-2CF5-4E15-B936-815B11D8D821}">
  <ds:schemaRefs/>
</ds:datastoreItem>
</file>

<file path=customXml/itemProps19.xml><?xml version="1.0" encoding="utf-8"?>
<ds:datastoreItem xmlns:ds="http://schemas.openxmlformats.org/officeDocument/2006/customXml" ds:itemID="{734C67F4-7B90-46C4-9EFC-0F2B1BB7BB72}">
  <ds:schemaRefs/>
</ds:datastoreItem>
</file>

<file path=customXml/itemProps20.xml><?xml version="1.0" encoding="utf-8"?>
<ds:datastoreItem xmlns:ds="http://schemas.openxmlformats.org/officeDocument/2006/customXml" ds:itemID="{A7CE952F-640B-432E-8F31-D36137EC9EB2}">
  <ds:schemaRefs/>
</ds:datastoreItem>
</file>

<file path=customXml/itemProps21.xml><?xml version="1.0" encoding="utf-8"?>
<ds:datastoreItem xmlns:ds="http://schemas.openxmlformats.org/officeDocument/2006/customXml" ds:itemID="{ADFF54EA-365B-4B0A-9895-913592F13C6C}">
  <ds:schemaRefs/>
</ds:datastoreItem>
</file>

<file path=customXml/itemProps22.xml><?xml version="1.0" encoding="utf-8"?>
<ds:datastoreItem xmlns:ds="http://schemas.openxmlformats.org/officeDocument/2006/customXml" ds:itemID="{1AECF8D5-282F-4846-9761-D7C24C251EFE}">
  <ds:schemaRefs/>
</ds:datastoreItem>
</file>

<file path=customXml/itemProps23.xml><?xml version="1.0" encoding="utf-8"?>
<ds:datastoreItem xmlns:ds="http://schemas.openxmlformats.org/officeDocument/2006/customXml" ds:itemID="{FA405CDB-9FBE-4492-81BD-5036E2EE4017}">
  <ds:schemaRefs>
    <ds:schemaRef ds:uri="http://schemas.microsoft.com/DataMashup"/>
  </ds:schemaRefs>
</ds:datastoreItem>
</file>

<file path=customXml/itemProps24.xml><?xml version="1.0" encoding="utf-8"?>
<ds:datastoreItem xmlns:ds="http://schemas.openxmlformats.org/officeDocument/2006/customXml" ds:itemID="{34601409-CD8A-4AB3-80CD-AA2F8041C543}">
  <ds:schemaRefs/>
</ds:datastoreItem>
</file>

<file path=customXml/itemProps25.xml><?xml version="1.0" encoding="utf-8"?>
<ds:datastoreItem xmlns:ds="http://schemas.openxmlformats.org/officeDocument/2006/customXml" ds:itemID="{3DF012F6-5D17-4602-AF0A-590F01059EA9}">
  <ds:schemaRefs/>
</ds:datastoreItem>
</file>

<file path=customXml/itemProps26.xml><?xml version="1.0" encoding="utf-8"?>
<ds:datastoreItem xmlns:ds="http://schemas.openxmlformats.org/officeDocument/2006/customXml" ds:itemID="{D91755D4-77AC-4974-90C6-F8BB5AAF78C9}">
  <ds:schemaRefs/>
</ds:datastoreItem>
</file>

<file path=customXml/itemProps27.xml><?xml version="1.0" encoding="utf-8"?>
<ds:datastoreItem xmlns:ds="http://schemas.openxmlformats.org/officeDocument/2006/customXml" ds:itemID="{244358CD-B64E-442B-9BD1-73DEAB969FE0}">
  <ds:schemaRefs/>
</ds:datastoreItem>
</file>

<file path=customXml/itemProps28.xml><?xml version="1.0" encoding="utf-8"?>
<ds:datastoreItem xmlns:ds="http://schemas.openxmlformats.org/officeDocument/2006/customXml" ds:itemID="{EBB0A925-51C0-4178-9881-BA186D0C3845}">
  <ds:schemaRefs/>
</ds:datastoreItem>
</file>

<file path=customXml/itemProps29.xml><?xml version="1.0" encoding="utf-8"?>
<ds:datastoreItem xmlns:ds="http://schemas.openxmlformats.org/officeDocument/2006/customXml" ds:itemID="{1E7CE2BF-B47E-4C04-B57C-BF8F76BF21F9}">
  <ds:schemaRefs/>
</ds:datastoreItem>
</file>

<file path=customXml/itemProps30.xml><?xml version="1.0" encoding="utf-8"?>
<ds:datastoreItem xmlns:ds="http://schemas.openxmlformats.org/officeDocument/2006/customXml" ds:itemID="{FAF8DA88-AAEE-4B3A-B6D3-BC9A7139C312}">
  <ds:schemaRefs/>
</ds:datastoreItem>
</file>

<file path=customXml/itemProps31.xml><?xml version="1.0" encoding="utf-8"?>
<ds:datastoreItem xmlns:ds="http://schemas.openxmlformats.org/officeDocument/2006/customXml" ds:itemID="{7A6EC330-4F41-4685-BE80-BD60C099D142}">
  <ds:schemaRefs/>
</ds:datastoreItem>
</file>

<file path=customXml/itemProps32.xml><?xml version="1.0" encoding="utf-8"?>
<ds:datastoreItem xmlns:ds="http://schemas.openxmlformats.org/officeDocument/2006/customXml" ds:itemID="{A91B3EA3-8A49-42E3-B290-602E24721AC4}">
  <ds:schemaRefs/>
</ds:datastoreItem>
</file>

<file path=customXml/itemProps33.xml><?xml version="1.0" encoding="utf-8"?>
<ds:datastoreItem xmlns:ds="http://schemas.openxmlformats.org/officeDocument/2006/customXml" ds:itemID="{AC38852E-6186-4074-A626-8F54E68AEB69}">
  <ds:schemaRefs/>
</ds:datastoreItem>
</file>

<file path=customXml/itemProps34.xml><?xml version="1.0" encoding="utf-8"?>
<ds:datastoreItem xmlns:ds="http://schemas.openxmlformats.org/officeDocument/2006/customXml" ds:itemID="{1C209EDC-B253-4FD9-A793-6B3D98FEA35B}">
  <ds:schemaRefs/>
</ds:datastoreItem>
</file>

<file path=customXml/itemProps35.xml><?xml version="1.0" encoding="utf-8"?>
<ds:datastoreItem xmlns:ds="http://schemas.openxmlformats.org/officeDocument/2006/customXml" ds:itemID="{E7EA3251-8511-4A0D-A712-8F34D1207178}">
  <ds:schemaRefs/>
</ds:datastoreItem>
</file>

<file path=customXml/itemProps36.xml><?xml version="1.0" encoding="utf-8"?>
<ds:datastoreItem xmlns:ds="http://schemas.openxmlformats.org/officeDocument/2006/customXml" ds:itemID="{22385280-8C4E-4F30-B66E-8A4221B848ED}">
  <ds:schemaRefs/>
</ds:datastoreItem>
</file>

<file path=customXml/itemProps37.xml><?xml version="1.0" encoding="utf-8"?>
<ds:datastoreItem xmlns:ds="http://schemas.openxmlformats.org/officeDocument/2006/customXml" ds:itemID="{86709121-7664-4143-B388-47DAB285A9B6}">
  <ds:schemaRefs/>
</ds:datastoreItem>
</file>

<file path=customXml/itemProps38.xml><?xml version="1.0" encoding="utf-8"?>
<ds:datastoreItem xmlns:ds="http://schemas.openxmlformats.org/officeDocument/2006/customXml" ds:itemID="{0693AB19-18F4-4681-84DD-FEBE0BF8F467}">
  <ds:schemaRefs/>
</ds:datastoreItem>
</file>

<file path=customXml/itemProps39.xml><?xml version="1.0" encoding="utf-8"?>
<ds:datastoreItem xmlns:ds="http://schemas.openxmlformats.org/officeDocument/2006/customXml" ds:itemID="{67751D32-C87B-439E-97E6-67E618AC5DE9}">
  <ds:schemaRefs/>
</ds:datastoreItem>
</file>

<file path=customXml/itemProps40.xml><?xml version="1.0" encoding="utf-8"?>
<ds:datastoreItem xmlns:ds="http://schemas.openxmlformats.org/officeDocument/2006/customXml" ds:itemID="{CEF52FA5-170B-485A-A0A7-2B3EB7D235A5}">
  <ds:schemaRefs/>
</ds:datastoreItem>
</file>

<file path=customXml/itemProps41.xml><?xml version="1.0" encoding="utf-8"?>
<ds:datastoreItem xmlns:ds="http://schemas.openxmlformats.org/officeDocument/2006/customXml" ds:itemID="{0E5276D0-A75C-4282-BF74-4E2E264C6EBD}">
  <ds:schemaRefs/>
</ds:datastoreItem>
</file>

<file path=customXml/itemProps42.xml><?xml version="1.0" encoding="utf-8"?>
<ds:datastoreItem xmlns:ds="http://schemas.openxmlformats.org/officeDocument/2006/customXml" ds:itemID="{7B207EE4-B3A1-4752-99A8-ED7EA3B29AB9}">
  <ds:schemaRefs/>
</ds:datastoreItem>
</file>

<file path=customXml/itemProps43.xml><?xml version="1.0" encoding="utf-8"?>
<ds:datastoreItem xmlns:ds="http://schemas.openxmlformats.org/officeDocument/2006/customXml" ds:itemID="{82760815-AEAD-4219-AF3A-2C70D94F4ECC}">
  <ds:schemaRefs/>
</ds:datastoreItem>
</file>

<file path=customXml/itemProps44.xml><?xml version="1.0" encoding="utf-8"?>
<ds:datastoreItem xmlns:ds="http://schemas.openxmlformats.org/officeDocument/2006/customXml" ds:itemID="{B0C88F21-C1B8-4E06-9D2F-D6853651157C}">
  <ds:schemaRefs/>
</ds:datastoreItem>
</file>

<file path=customXml/itemProps45.xml><?xml version="1.0" encoding="utf-8"?>
<ds:datastoreItem xmlns:ds="http://schemas.openxmlformats.org/officeDocument/2006/customXml" ds:itemID="{5C08ACBF-DBC7-4744-A1BC-7FECA73F49EE}">
  <ds:schemaRefs/>
</ds:datastoreItem>
</file>

<file path=customXml/itemProps46.xml><?xml version="1.0" encoding="utf-8"?>
<ds:datastoreItem xmlns:ds="http://schemas.openxmlformats.org/officeDocument/2006/customXml" ds:itemID="{60B55034-AF47-4368-8AED-A0A07C5723B8}">
  <ds:schemaRefs/>
</ds:datastoreItem>
</file>

<file path=customXml/itemProps47.xml><?xml version="1.0" encoding="utf-8"?>
<ds:datastoreItem xmlns:ds="http://schemas.openxmlformats.org/officeDocument/2006/customXml" ds:itemID="{EF987DFA-27B2-4CF2-96E2-5141A9FA8C2C}">
  <ds:schemaRefs/>
</ds:datastoreItem>
</file>

<file path=customXml/itemProps48.xml><?xml version="1.0" encoding="utf-8"?>
<ds:datastoreItem xmlns:ds="http://schemas.openxmlformats.org/officeDocument/2006/customXml" ds:itemID="{1345F5CE-749B-43A7-AE98-8BF61242E5DA}">
  <ds:schemaRefs/>
</ds:datastoreItem>
</file>

<file path=customXml/itemProps49.xml><?xml version="1.0" encoding="utf-8"?>
<ds:datastoreItem xmlns:ds="http://schemas.openxmlformats.org/officeDocument/2006/customXml" ds:itemID="{395D68EE-7455-4573-B7D1-DB06E11BCC18}">
  <ds:schemaRefs/>
</ds:datastoreItem>
</file>

<file path=customXml/itemProps50.xml><?xml version="1.0" encoding="utf-8"?>
<ds:datastoreItem xmlns:ds="http://schemas.openxmlformats.org/officeDocument/2006/customXml" ds:itemID="{475559FD-EE07-4DF7-99C4-F8C7F77F1921}">
  <ds:schemaRefs/>
</ds:datastoreItem>
</file>

<file path=customXml/itemProps51.xml><?xml version="1.0" encoding="utf-8"?>
<ds:datastoreItem xmlns:ds="http://schemas.openxmlformats.org/officeDocument/2006/customXml" ds:itemID="{04016882-EC4D-4DB1-B40B-43E13B5F5A14}">
  <ds:schemaRefs/>
</ds:datastoreItem>
</file>

<file path=customXml/itemProps52.xml><?xml version="1.0" encoding="utf-8"?>
<ds:datastoreItem xmlns:ds="http://schemas.openxmlformats.org/officeDocument/2006/customXml" ds:itemID="{C54469F2-8AB3-4E90-BF0A-A8AD57B8F3D0}">
  <ds:schemaRefs/>
</ds:datastoreItem>
</file>

<file path=customXml/itemProps53.xml><?xml version="1.0" encoding="utf-8"?>
<ds:datastoreItem xmlns:ds="http://schemas.openxmlformats.org/officeDocument/2006/customXml" ds:itemID="{6CD4F171-F731-4B2E-ACF0-ED476187D301}">
  <ds:schemaRefs/>
</ds:datastoreItem>
</file>

<file path=customXml/itemProps54.xml><?xml version="1.0" encoding="utf-8"?>
<ds:datastoreItem xmlns:ds="http://schemas.openxmlformats.org/officeDocument/2006/customXml" ds:itemID="{807F4DD8-AC8F-48FF-BED2-02CA4D55917E}">
  <ds:schemaRefs/>
</ds:datastoreItem>
</file>

<file path=customXml/itemProps55.xml><?xml version="1.0" encoding="utf-8"?>
<ds:datastoreItem xmlns:ds="http://schemas.openxmlformats.org/officeDocument/2006/customXml" ds:itemID="{FB5DB82F-53E2-4781-B7B9-F83A4B9AD3EB}">
  <ds:schemaRefs/>
</ds:datastoreItem>
</file>

<file path=customXml/itemProps56.xml><?xml version="1.0" encoding="utf-8"?>
<ds:datastoreItem xmlns:ds="http://schemas.openxmlformats.org/officeDocument/2006/customXml" ds:itemID="{F3AA0CFE-B9D5-4F55-9AAD-7B6126036C40}">
  <ds:schemaRefs/>
</ds:datastoreItem>
</file>

<file path=customXml/itemProps57.xml><?xml version="1.0" encoding="utf-8"?>
<ds:datastoreItem xmlns:ds="http://schemas.openxmlformats.org/officeDocument/2006/customXml" ds:itemID="{FB0244A9-3FBF-438B-AC40-0E7D111348A9}">
  <ds:schemaRefs/>
</ds:datastoreItem>
</file>

<file path=customXml/itemProps58.xml><?xml version="1.0" encoding="utf-8"?>
<ds:datastoreItem xmlns:ds="http://schemas.openxmlformats.org/officeDocument/2006/customXml" ds:itemID="{9191DE52-120E-4855-991A-621A3BEBB77C}">
  <ds:schemaRefs/>
</ds:datastoreItem>
</file>

<file path=customXml/itemProps59.xml><?xml version="1.0" encoding="utf-8"?>
<ds:datastoreItem xmlns:ds="http://schemas.openxmlformats.org/officeDocument/2006/customXml" ds:itemID="{3E910E7A-D892-4D13-BD64-0961FD895C58}">
  <ds:schemaRefs/>
</ds:datastoreItem>
</file>

<file path=customXml/itemProps60.xml><?xml version="1.0" encoding="utf-8"?>
<ds:datastoreItem xmlns:ds="http://schemas.openxmlformats.org/officeDocument/2006/customXml" ds:itemID="{8100E586-E9B2-4E65-9D17-4B5C98A02198}">
  <ds:schemaRefs/>
</ds:datastoreItem>
</file>

<file path=customXml/itemProps61.xml><?xml version="1.0" encoding="utf-8"?>
<ds:datastoreItem xmlns:ds="http://schemas.openxmlformats.org/officeDocument/2006/customXml" ds:itemID="{ACE3C3F0-07A5-4282-A5CC-245FF1FAA0CC}">
  <ds:schemaRefs/>
</ds:datastoreItem>
</file>

<file path=customXml/itemProps62.xml><?xml version="1.0" encoding="utf-8"?>
<ds:datastoreItem xmlns:ds="http://schemas.openxmlformats.org/officeDocument/2006/customXml" ds:itemID="{14F64786-732A-4D4F-A1FC-217E4D92146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piv.tables</vt:lpstr>
      <vt:lpstr>dashboard</vt:lpstr>
      <vt:lpstr>segments 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 Mohamed</dc:creator>
  <cp:lastModifiedBy>Ibrahim Mohamed</cp:lastModifiedBy>
  <cp:lastPrinted>2026-02-28T13:18:32Z</cp:lastPrinted>
  <dcterms:created xsi:type="dcterms:W3CDTF">2025-11-30T18:48:26Z</dcterms:created>
  <dcterms:modified xsi:type="dcterms:W3CDTF">2026-03-02T14:53:57Z</dcterms:modified>
</cp:coreProperties>
</file>